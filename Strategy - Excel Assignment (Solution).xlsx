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ichi\Downloads\"/>
    </mc:Choice>
  </mc:AlternateContent>
  <xr:revisionPtr revIDLastSave="0" documentId="13_ncr:1_{2EA61AB1-5868-44CD-AFB5-FDB1C88BA785}" xr6:coauthVersionLast="47" xr6:coauthVersionMax="47" xr10:uidLastSave="{00000000-0000-0000-0000-000000000000}"/>
  <bookViews>
    <workbookView xWindow="-108" yWindow="-108" windowWidth="23256" windowHeight="12456" firstSheet="6" activeTab="8" xr2:uid="{B6B65483-EEAF-4DEC-9E10-8C319F5ABC46}"/>
  </bookViews>
  <sheets>
    <sheet name="Resource" sheetId="1" r:id="rId1"/>
    <sheet name="Projects" sheetId="2" r:id="rId2"/>
    <sheet name="Team Structure Analysis " sheetId="3" r:id="rId3"/>
    <sheet name="Long-Running Projects Identific" sheetId="4" r:id="rId4"/>
    <sheet name="Employee Cohort Filtering " sheetId="6" r:id="rId5"/>
    <sheet name="Employee–Project Mapping " sheetId="7" r:id="rId6"/>
    <sheet name="Emp–Proj Mgmt Count " sheetId="8" r:id="rId7"/>
    <sheet name="Utilisation" sheetId="12" r:id="rId8"/>
    <sheet name="Strategic Tracker" sheetId="13" r:id="rId9"/>
  </sheets>
  <definedNames>
    <definedName name="_xlnm._FilterDatabase" localSheetId="5" hidden="1">'Employee–Project Mapping '!$Q$2:$S$34</definedName>
    <definedName name="_xlnm._FilterDatabase" localSheetId="1" hidden="1">Projects!$A$1:$G$91</definedName>
    <definedName name="_xlnm._FilterDatabase" localSheetId="0" hidden="1">Resource!$A$1:$K$132</definedName>
    <definedName name="ExternalData_1" localSheetId="5" hidden="1">'Employee–Project Mapping '!$A$1:$K$230</definedName>
    <definedName name="Slicer_Designation">#N/A</definedName>
    <definedName name="Slicer_Quarter_of_Joining_Date">#N/A</definedName>
    <definedName name="Slicer_Team">#N/A</definedName>
    <definedName name="Slicer_Team1">#N/A</definedName>
    <definedName name="Slicer_Type">#N/A</definedName>
    <definedName name="Slicer_Year_of_Joining_Date">#N/A</definedName>
  </definedNames>
  <calcPr calcId="191028"/>
  <pivotCaches>
    <pivotCache cacheId="11" r:id="rId10"/>
    <pivotCache cacheId="10" r:id="rId11"/>
    <pivotCache cacheId="17" r:id="rId12"/>
    <pivotCache cacheId="28"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13" l="1"/>
  <c r="L7" i="13"/>
  <c r="L8" i="13"/>
  <c r="L9" i="13"/>
  <c r="L3" i="13"/>
  <c r="L4" i="13"/>
  <c r="L5" i="13"/>
  <c r="L2" i="13"/>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4" i="12"/>
  <c r="Q3" i="7" a="1"/>
  <c r="Q3" i="7" s="1"/>
  <c r="M26" i="7"/>
  <c r="M221" i="7"/>
  <c r="M205" i="7"/>
  <c r="M149" i="7"/>
  <c r="M11" i="7"/>
  <c r="M104" i="7"/>
  <c r="M173" i="7"/>
  <c r="M81" i="7"/>
  <c r="M122" i="7"/>
  <c r="M9" i="7"/>
  <c r="M75" i="7"/>
  <c r="M222" i="7"/>
  <c r="M123" i="7"/>
  <c r="M115" i="7"/>
  <c r="M181" i="7"/>
  <c r="M212" i="7"/>
  <c r="M143" i="7"/>
  <c r="M207" i="7"/>
  <c r="M46" i="7"/>
  <c r="M47" i="7"/>
  <c r="M139" i="7"/>
  <c r="M48" i="7"/>
  <c r="M17" i="7"/>
  <c r="M91" i="7"/>
  <c r="M213" i="7"/>
  <c r="M31" i="7"/>
  <c r="M133" i="7"/>
  <c r="M140" i="7"/>
  <c r="M116" i="7"/>
  <c r="M82" i="7"/>
  <c r="M182" i="7"/>
  <c r="M12" i="7"/>
  <c r="M183" i="7"/>
  <c r="M144" i="7"/>
  <c r="M202" i="7"/>
  <c r="M227" i="7"/>
  <c r="M27" i="7"/>
  <c r="M49" i="7"/>
  <c r="M170" i="7"/>
  <c r="M105" i="7"/>
  <c r="M154" i="7"/>
  <c r="M124" i="7"/>
  <c r="M50" i="7"/>
  <c r="M135" i="7"/>
  <c r="M151" i="7"/>
  <c r="M117" i="7"/>
  <c r="M13" i="7"/>
  <c r="M95" i="7"/>
  <c r="M51" i="7"/>
  <c r="M228" i="7"/>
  <c r="M125" i="7"/>
  <c r="M203" i="7"/>
  <c r="N203" i="7" s="1"/>
  <c r="O203" i="7" s="1"/>
  <c r="M110" i="7"/>
  <c r="M76" i="7"/>
  <c r="M32" i="7"/>
  <c r="M189" i="7"/>
  <c r="M98" i="7"/>
  <c r="M126" i="7"/>
  <c r="M174" i="7"/>
  <c r="M171" i="7"/>
  <c r="M52" i="7"/>
  <c r="M93" i="7"/>
  <c r="M145" i="7"/>
  <c r="M36" i="7"/>
  <c r="M155" i="7"/>
  <c r="M136" i="7"/>
  <c r="M106" i="7"/>
  <c r="M175" i="7"/>
  <c r="M137" i="7"/>
  <c r="M41" i="7"/>
  <c r="M146" i="7"/>
  <c r="M229" i="7"/>
  <c r="M147" i="7"/>
  <c r="M141" i="7"/>
  <c r="M214" i="7"/>
  <c r="M148" i="7"/>
  <c r="M24" i="7"/>
  <c r="M107" i="7"/>
  <c r="M53" i="7"/>
  <c r="M92" i="7"/>
  <c r="M54" i="7"/>
  <c r="M55" i="7"/>
  <c r="M56" i="7"/>
  <c r="M223" i="7"/>
  <c r="M165" i="7"/>
  <c r="M22" i="7"/>
  <c r="M111" i="7"/>
  <c r="M184" i="7"/>
  <c r="M127" i="7"/>
  <c r="M108" i="7"/>
  <c r="M57" i="7"/>
  <c r="M118" i="7"/>
  <c r="M112" i="7"/>
  <c r="M18" i="7"/>
  <c r="M88" i="7"/>
  <c r="M39" i="7"/>
  <c r="M193" i="7"/>
  <c r="M78" i="7"/>
  <c r="M109" i="7"/>
  <c r="M58" i="7"/>
  <c r="M230" i="7"/>
  <c r="M119" i="7"/>
  <c r="M99" i="7"/>
  <c r="M166" i="7"/>
  <c r="M100" i="7"/>
  <c r="M86" i="7"/>
  <c r="M4" i="7"/>
  <c r="M101" i="7"/>
  <c r="M28" i="7"/>
  <c r="M172" i="7"/>
  <c r="M2" i="7"/>
  <c r="M134" i="7"/>
  <c r="M14" i="7"/>
  <c r="M194" i="7"/>
  <c r="M89" i="7"/>
  <c r="M77" i="7"/>
  <c r="M40" i="7"/>
  <c r="M20" i="7"/>
  <c r="M29" i="7"/>
  <c r="M216" i="7"/>
  <c r="M113" i="7"/>
  <c r="M59" i="7"/>
  <c r="M142" i="7"/>
  <c r="M120" i="7"/>
  <c r="M83" i="7"/>
  <c r="M60" i="7"/>
  <c r="N60" i="7" s="1"/>
  <c r="O60" i="7" s="1"/>
  <c r="M186" i="7"/>
  <c r="M37" i="7"/>
  <c r="M15" i="7"/>
  <c r="M167" i="7"/>
  <c r="M195" i="7"/>
  <c r="M156" i="7"/>
  <c r="M157" i="7"/>
  <c r="M6" i="7"/>
  <c r="M25" i="7"/>
  <c r="M158" i="7"/>
  <c r="M34" i="7"/>
  <c r="M138" i="7"/>
  <c r="N138" i="7" s="1"/>
  <c r="O138" i="7" s="1"/>
  <c r="M176" i="7"/>
  <c r="M5" i="7"/>
  <c r="M128" i="7"/>
  <c r="M102" i="7"/>
  <c r="M185" i="7"/>
  <c r="M84" i="7"/>
  <c r="M200" i="7"/>
  <c r="M103" i="7"/>
  <c r="M61" i="7"/>
  <c r="M121" i="7"/>
  <c r="M19" i="7"/>
  <c r="M159" i="7"/>
  <c r="N159" i="7" s="1"/>
  <c r="O159" i="7" s="1"/>
  <c r="M7" i="7"/>
  <c r="M168" i="7"/>
  <c r="M23" i="7"/>
  <c r="M129" i="7"/>
  <c r="M225" i="7"/>
  <c r="M79" i="7"/>
  <c r="M160" i="7"/>
  <c r="M62" i="7"/>
  <c r="M206" i="7"/>
  <c r="M130" i="7"/>
  <c r="M196" i="7"/>
  <c r="M114" i="7"/>
  <c r="M16" i="7"/>
  <c r="M217" i="7"/>
  <c r="M3" i="7"/>
  <c r="M63" i="7"/>
  <c r="M30" i="7"/>
  <c r="M131" i="7"/>
  <c r="M208" i="7"/>
  <c r="M204" i="7"/>
  <c r="M64" i="7"/>
  <c r="M187" i="7"/>
  <c r="M188" i="7"/>
  <c r="M8" i="7"/>
  <c r="N8" i="7" s="1"/>
  <c r="O8" i="7" s="1"/>
  <c r="M65" i="7"/>
  <c r="M42" i="7"/>
  <c r="M152" i="7"/>
  <c r="M66" i="7"/>
  <c r="M218" i="7"/>
  <c r="M85" i="7"/>
  <c r="M161" i="7"/>
  <c r="M67" i="7"/>
  <c r="M132" i="7"/>
  <c r="M177" i="7"/>
  <c r="M33" i="7"/>
  <c r="M190" i="7"/>
  <c r="N190" i="7" s="1"/>
  <c r="O190" i="7" s="1"/>
  <c r="M226" i="7"/>
  <c r="M219" i="7"/>
  <c r="M169" i="7"/>
  <c r="M10" i="7"/>
  <c r="M198" i="7"/>
  <c r="M68" i="7"/>
  <c r="M43" i="7"/>
  <c r="M69" i="7"/>
  <c r="M70" i="7"/>
  <c r="M71" i="7"/>
  <c r="M90" i="7"/>
  <c r="M153" i="7"/>
  <c r="M35" i="7"/>
  <c r="M191" i="7"/>
  <c r="M96" i="7"/>
  <c r="M94" i="7"/>
  <c r="M178" i="7"/>
  <c r="M162" i="7"/>
  <c r="M220" i="7"/>
  <c r="M80" i="7"/>
  <c r="M215" i="7"/>
  <c r="M97" i="7"/>
  <c r="M72" i="7"/>
  <c r="M163" i="7"/>
  <c r="M73" i="7"/>
  <c r="M179" i="7"/>
  <c r="M197" i="7"/>
  <c r="M87" i="7"/>
  <c r="M164" i="7"/>
  <c r="M209" i="7"/>
  <c r="M201" i="7"/>
  <c r="M210" i="7"/>
  <c r="M180" i="7"/>
  <c r="M192" i="7"/>
  <c r="M44" i="7"/>
  <c r="M199" i="7"/>
  <c r="M74" i="7"/>
  <c r="M45" i="7"/>
  <c r="L26" i="7"/>
  <c r="L221" i="7"/>
  <c r="L205" i="7"/>
  <c r="L149" i="7"/>
  <c r="L11" i="7"/>
  <c r="L104" i="7"/>
  <c r="L173" i="7"/>
  <c r="L81" i="7"/>
  <c r="L122" i="7"/>
  <c r="L9" i="7"/>
  <c r="N211" i="7" s="1"/>
  <c r="O211" i="7" s="1"/>
  <c r="L75" i="7"/>
  <c r="N75" i="7" s="1"/>
  <c r="O75" i="7" s="1"/>
  <c r="L222" i="7"/>
  <c r="L123" i="7"/>
  <c r="L115" i="7"/>
  <c r="L181" i="7"/>
  <c r="L212" i="7"/>
  <c r="N212" i="7" s="1"/>
  <c r="O212" i="7" s="1"/>
  <c r="L143" i="7"/>
  <c r="N143" i="7" s="1"/>
  <c r="O143" i="7" s="1"/>
  <c r="L207" i="7"/>
  <c r="L46" i="7"/>
  <c r="L47" i="7"/>
  <c r="L139" i="7"/>
  <c r="L48" i="7"/>
  <c r="L17" i="7"/>
  <c r="L91" i="7"/>
  <c r="L213" i="7"/>
  <c r="L31" i="7"/>
  <c r="L133" i="7"/>
  <c r="L140" i="7"/>
  <c r="N150" i="7" s="1"/>
  <c r="O150" i="7" s="1"/>
  <c r="L116" i="7"/>
  <c r="L82" i="7"/>
  <c r="L182" i="7"/>
  <c r="L12" i="7"/>
  <c r="L183" i="7"/>
  <c r="L144" i="7"/>
  <c r="L202" i="7"/>
  <c r="L227" i="7"/>
  <c r="L27" i="7"/>
  <c r="L49" i="7"/>
  <c r="L170" i="7"/>
  <c r="L105" i="7"/>
  <c r="L154" i="7"/>
  <c r="L124" i="7"/>
  <c r="L50" i="7"/>
  <c r="L135" i="7"/>
  <c r="L151" i="7"/>
  <c r="L117" i="7"/>
  <c r="L13" i="7"/>
  <c r="L95" i="7"/>
  <c r="L51" i="7"/>
  <c r="L228" i="7"/>
  <c r="L125" i="7"/>
  <c r="L203" i="7"/>
  <c r="L110" i="7"/>
  <c r="L76" i="7"/>
  <c r="L32" i="7"/>
  <c r="L189" i="7"/>
  <c r="L98" i="7"/>
  <c r="L126" i="7"/>
  <c r="L174" i="7"/>
  <c r="N174" i="7" s="1"/>
  <c r="O174" i="7" s="1"/>
  <c r="L171" i="7"/>
  <c r="L52" i="7"/>
  <c r="L93" i="7"/>
  <c r="L145" i="7"/>
  <c r="L36" i="7"/>
  <c r="L155" i="7"/>
  <c r="N36" i="7" s="1"/>
  <c r="O36" i="7" s="1"/>
  <c r="L136" i="7"/>
  <c r="L106" i="7"/>
  <c r="L175" i="7"/>
  <c r="L137" i="7"/>
  <c r="L41" i="7"/>
  <c r="L146" i="7"/>
  <c r="N146" i="7" s="1"/>
  <c r="O146" i="7" s="1"/>
  <c r="L229" i="7"/>
  <c r="L147" i="7"/>
  <c r="L141" i="7"/>
  <c r="L214" i="7"/>
  <c r="L148" i="7"/>
  <c r="L24" i="7"/>
  <c r="N148" i="7" s="1"/>
  <c r="O148" i="7" s="1"/>
  <c r="L107" i="7"/>
  <c r="L53" i="7"/>
  <c r="L92" i="7"/>
  <c r="L54" i="7"/>
  <c r="L55" i="7"/>
  <c r="L56" i="7"/>
  <c r="N56" i="7" s="1"/>
  <c r="O56" i="7" s="1"/>
  <c r="L223" i="7"/>
  <c r="L165" i="7"/>
  <c r="L22" i="7"/>
  <c r="L111" i="7"/>
  <c r="L184" i="7"/>
  <c r="L127" i="7"/>
  <c r="L108" i="7"/>
  <c r="L57" i="7"/>
  <c r="L118" i="7"/>
  <c r="L112" i="7"/>
  <c r="L18" i="7"/>
  <c r="L88" i="7"/>
  <c r="N88" i="7" s="1"/>
  <c r="O88" i="7" s="1"/>
  <c r="L39" i="7"/>
  <c r="L193" i="7"/>
  <c r="L78" i="7"/>
  <c r="L109" i="7"/>
  <c r="L58" i="7"/>
  <c r="L230" i="7"/>
  <c r="L119" i="7"/>
  <c r="L99" i="7"/>
  <c r="L166" i="7"/>
  <c r="L100" i="7"/>
  <c r="L86" i="7"/>
  <c r="L4" i="7"/>
  <c r="N4" i="7" s="1"/>
  <c r="O4" i="7" s="1"/>
  <c r="L101" i="7"/>
  <c r="L28" i="7"/>
  <c r="L172" i="7"/>
  <c r="L2" i="7"/>
  <c r="L134" i="7"/>
  <c r="L14" i="7"/>
  <c r="L194" i="7"/>
  <c r="L89" i="7"/>
  <c r="L77" i="7"/>
  <c r="L40" i="7"/>
  <c r="L20" i="7"/>
  <c r="L29" i="7"/>
  <c r="L216" i="7"/>
  <c r="L113" i="7"/>
  <c r="L59" i="7"/>
  <c r="L142" i="7"/>
  <c r="N142" i="7" s="1"/>
  <c r="O142" i="7" s="1"/>
  <c r="L120" i="7"/>
  <c r="L83" i="7"/>
  <c r="N83" i="7" s="1"/>
  <c r="O83" i="7" s="1"/>
  <c r="L60" i="7"/>
  <c r="L186" i="7"/>
  <c r="L37" i="7"/>
  <c r="L15" i="7"/>
  <c r="L167" i="7"/>
  <c r="L195" i="7"/>
  <c r="N195" i="7" s="1"/>
  <c r="O195" i="7" s="1"/>
  <c r="L156" i="7"/>
  <c r="L157" i="7"/>
  <c r="L6" i="7"/>
  <c r="L25" i="7"/>
  <c r="L158" i="7"/>
  <c r="L34" i="7"/>
  <c r="N34" i="7" s="1"/>
  <c r="O34" i="7" s="1"/>
  <c r="L138" i="7"/>
  <c r="L176" i="7"/>
  <c r="L5" i="7"/>
  <c r="L128" i="7"/>
  <c r="L102" i="7"/>
  <c r="L185" i="7"/>
  <c r="L84" i="7"/>
  <c r="L200" i="7"/>
  <c r="L103" i="7"/>
  <c r="L61" i="7"/>
  <c r="L121" i="7"/>
  <c r="L19" i="7"/>
  <c r="L159" i="7"/>
  <c r="L7" i="7"/>
  <c r="L168" i="7"/>
  <c r="L23" i="7"/>
  <c r="L129" i="7"/>
  <c r="L225" i="7"/>
  <c r="N225" i="7" s="1"/>
  <c r="O225" i="7" s="1"/>
  <c r="L79" i="7"/>
  <c r="L160" i="7"/>
  <c r="L62" i="7"/>
  <c r="L206" i="7"/>
  <c r="L130" i="7"/>
  <c r="L196" i="7"/>
  <c r="L114" i="7"/>
  <c r="L16" i="7"/>
  <c r="L217" i="7"/>
  <c r="L3" i="7"/>
  <c r="L63" i="7"/>
  <c r="L30" i="7"/>
  <c r="N30" i="7" s="1"/>
  <c r="O30" i="7" s="1"/>
  <c r="L131" i="7"/>
  <c r="L208" i="7"/>
  <c r="L204" i="7"/>
  <c r="L64" i="7"/>
  <c r="L187" i="7"/>
  <c r="L188" i="7"/>
  <c r="L8" i="7"/>
  <c r="L65" i="7"/>
  <c r="L42" i="7"/>
  <c r="L152" i="7"/>
  <c r="L66" i="7"/>
  <c r="N21" i="7" s="1"/>
  <c r="O21" i="7" s="1"/>
  <c r="L218" i="7"/>
  <c r="N218" i="7" s="1"/>
  <c r="O218" i="7" s="1"/>
  <c r="L85" i="7"/>
  <c r="L161" i="7"/>
  <c r="L67" i="7"/>
  <c r="L132" i="7"/>
  <c r="L177" i="7"/>
  <c r="L33" i="7"/>
  <c r="L190" i="7"/>
  <c r="L226" i="7"/>
  <c r="L219" i="7"/>
  <c r="L169" i="7"/>
  <c r="L10" i="7"/>
  <c r="L198" i="7"/>
  <c r="N198" i="7" s="1"/>
  <c r="O198" i="7" s="1"/>
  <c r="L68" i="7"/>
  <c r="L43" i="7"/>
  <c r="L69" i="7"/>
  <c r="L70" i="7"/>
  <c r="L71" i="7"/>
  <c r="L90" i="7"/>
  <c r="L153" i="7"/>
  <c r="L35" i="7"/>
  <c r="L191" i="7"/>
  <c r="L96" i="7"/>
  <c r="L94" i="7"/>
  <c r="L178" i="7"/>
  <c r="N178" i="7" s="1"/>
  <c r="O178" i="7" s="1"/>
  <c r="L162" i="7"/>
  <c r="L220" i="7"/>
  <c r="L80" i="7"/>
  <c r="L215" i="7"/>
  <c r="L97" i="7"/>
  <c r="L72" i="7"/>
  <c r="N72" i="7" s="1"/>
  <c r="O72" i="7" s="1"/>
  <c r="L163" i="7"/>
  <c r="L73" i="7"/>
  <c r="L179" i="7"/>
  <c r="N38" i="7" s="1"/>
  <c r="O38" i="7" s="1"/>
  <c r="L197" i="7"/>
  <c r="L87" i="7"/>
  <c r="L164" i="7"/>
  <c r="N164" i="7" s="1"/>
  <c r="O164" i="7" s="1"/>
  <c r="L209" i="7"/>
  <c r="L201" i="7"/>
  <c r="L210" i="7"/>
  <c r="L180" i="7"/>
  <c r="L192" i="7"/>
  <c r="L44" i="7"/>
  <c r="L199" i="7"/>
  <c r="L74" i="7"/>
  <c r="L45" i="7"/>
  <c r="L5" i="2"/>
  <c r="L6" i="2"/>
  <c r="L7" i="2"/>
  <c r="L11" i="2"/>
  <c r="L12" i="2"/>
  <c r="L13" i="2"/>
  <c r="L17" i="2"/>
  <c r="L18" i="2"/>
  <c r="L19" i="2"/>
  <c r="L23" i="2"/>
  <c r="L24" i="2"/>
  <c r="L25" i="2"/>
  <c r="L36" i="2"/>
  <c r="L37" i="2"/>
  <c r="L42" i="2"/>
  <c r="L43" i="2"/>
  <c r="L48" i="2"/>
  <c r="L49" i="2"/>
  <c r="L54" i="2"/>
  <c r="L55" i="2"/>
  <c r="L60" i="2"/>
  <c r="L61" i="2"/>
  <c r="L84" i="2"/>
  <c r="L85" i="2"/>
  <c r="L89" i="2"/>
  <c r="L90" i="2"/>
  <c r="L91" i="2"/>
  <c r="K79" i="2"/>
  <c r="K62" i="2"/>
  <c r="K50" i="2"/>
  <c r="K46" i="2"/>
  <c r="K33" i="2"/>
  <c r="K24" i="2"/>
  <c r="K21" i="2"/>
  <c r="K11" i="2"/>
  <c r="K9" i="2"/>
  <c r="N11" i="1"/>
  <c r="N12" i="1"/>
  <c r="N22" i="1"/>
  <c r="N23" i="1"/>
  <c r="N24" i="1"/>
  <c r="N25" i="1"/>
  <c r="N36" i="1"/>
  <c r="N37" i="1"/>
  <c r="N48" i="1"/>
  <c r="N49" i="1"/>
  <c r="N58" i="1"/>
  <c r="N60" i="1"/>
  <c r="N71" i="1"/>
  <c r="N82" i="1"/>
  <c r="N83" i="1"/>
  <c r="N84" i="1"/>
  <c r="N96" i="1"/>
  <c r="N97" i="1"/>
  <c r="N108" i="1"/>
  <c r="N114" i="1"/>
  <c r="N119" i="1"/>
  <c r="M4" i="1"/>
  <c r="M15" i="1"/>
  <c r="M16" i="1"/>
  <c r="M22" i="1"/>
  <c r="M38" i="1"/>
  <c r="M46" i="1"/>
  <c r="M50" i="1"/>
  <c r="M51" i="1"/>
  <c r="M64" i="1"/>
  <c r="M74" i="1"/>
  <c r="M75" i="1"/>
  <c r="M76" i="1"/>
  <c r="M94" i="1"/>
  <c r="M100" i="1"/>
  <c r="M106" i="1"/>
  <c r="M110" i="1"/>
  <c r="M121" i="1"/>
  <c r="M122" i="1"/>
  <c r="L3" i="1"/>
  <c r="L5" i="1"/>
  <c r="L6" i="1"/>
  <c r="L7" i="1"/>
  <c r="L17" i="1"/>
  <c r="L22" i="1"/>
  <c r="L23" i="1"/>
  <c r="L24" i="1"/>
  <c r="L25" i="1"/>
  <c r="L35" i="1"/>
  <c r="L36" i="1"/>
  <c r="L41" i="1"/>
  <c r="L42" i="1"/>
  <c r="L43" i="1"/>
  <c r="L47" i="1"/>
  <c r="L48" i="1"/>
  <c r="L60" i="1"/>
  <c r="L61" i="1"/>
  <c r="L63" i="1"/>
  <c r="L65" i="1"/>
  <c r="L66" i="1"/>
  <c r="L77" i="1"/>
  <c r="L83" i="1"/>
  <c r="L84" i="1"/>
  <c r="L85" i="1"/>
  <c r="L87" i="1"/>
  <c r="L96" i="1"/>
  <c r="L97" i="1"/>
  <c r="L107" i="1"/>
  <c r="L108" i="1"/>
  <c r="L119" i="1"/>
  <c r="L125" i="1"/>
  <c r="L126" i="1"/>
  <c r="L127" i="1"/>
  <c r="J7" i="2"/>
  <c r="I7" i="2"/>
  <c r="I8" i="2"/>
  <c r="J8" i="2" s="1"/>
  <c r="I33" i="2"/>
  <c r="J33" i="2" s="1"/>
  <c r="I51" i="2"/>
  <c r="J51" i="2" s="1"/>
  <c r="I65" i="2"/>
  <c r="J65" i="2" s="1"/>
  <c r="I66" i="2"/>
  <c r="I67" i="2"/>
  <c r="I90" i="2"/>
  <c r="J90" i="2" s="1"/>
  <c r="H2" i="2"/>
  <c r="I2" i="2" s="1"/>
  <c r="J2" i="2" s="1"/>
  <c r="H4" i="2"/>
  <c r="I4" i="2" s="1"/>
  <c r="J4" i="2" s="1"/>
  <c r="H25" i="2"/>
  <c r="I25" i="2" s="1"/>
  <c r="J25" i="2" s="1"/>
  <c r="H27" i="2"/>
  <c r="I27" i="2" s="1"/>
  <c r="J27" i="2" s="1"/>
  <c r="H29" i="2"/>
  <c r="I29" i="2" s="1"/>
  <c r="J29" i="2" s="1"/>
  <c r="H30" i="2"/>
  <c r="I30" i="2" s="1"/>
  <c r="J30" i="2" s="1"/>
  <c r="H31" i="2"/>
  <c r="I31" i="2" s="1"/>
  <c r="J31" i="2" s="1"/>
  <c r="H48" i="2"/>
  <c r="I48" i="2" s="1"/>
  <c r="J48" i="2" s="1"/>
  <c r="H51" i="2"/>
  <c r="K51" i="2" s="1"/>
  <c r="H52" i="2"/>
  <c r="K52" i="2" s="1"/>
  <c r="H65" i="2"/>
  <c r="K65" i="2" s="1"/>
  <c r="H66" i="2"/>
  <c r="K66" i="2" s="1"/>
  <c r="H67" i="2"/>
  <c r="L67" i="2" s="1"/>
  <c r="H71" i="2"/>
  <c r="I71" i="2" s="1"/>
  <c r="J71" i="2" s="1"/>
  <c r="H74" i="2"/>
  <c r="I74" i="2" s="1"/>
  <c r="J74" i="2" s="1"/>
  <c r="H78" i="2"/>
  <c r="K78" i="2" s="1"/>
  <c r="H79" i="2"/>
  <c r="I79" i="2" s="1"/>
  <c r="J79" i="2" s="1"/>
  <c r="H82" i="2"/>
  <c r="I82" i="2" s="1"/>
  <c r="J82" i="2" s="1"/>
  <c r="H83" i="2"/>
  <c r="I83" i="2" s="1"/>
  <c r="H85" i="2"/>
  <c r="I85" i="2" s="1"/>
  <c r="H87" i="2"/>
  <c r="I87" i="2" s="1"/>
  <c r="H88" i="2"/>
  <c r="I88" i="2" s="1"/>
  <c r="J88" i="2" s="1"/>
  <c r="F32" i="2"/>
  <c r="H32" i="2" s="1"/>
  <c r="I32" i="2" s="1"/>
  <c r="J32" i="2" s="1"/>
  <c r="F3" i="2"/>
  <c r="H3" i="2" s="1"/>
  <c r="I3" i="2" s="1"/>
  <c r="J3" i="2" s="1"/>
  <c r="F4" i="2"/>
  <c r="L4" i="2" s="1"/>
  <c r="F5" i="2"/>
  <c r="H5" i="2" s="1"/>
  <c r="I5" i="2" s="1"/>
  <c r="J5" i="2" s="1"/>
  <c r="F6" i="2"/>
  <c r="H6" i="2" s="1"/>
  <c r="I6" i="2" s="1"/>
  <c r="J6" i="2" s="1"/>
  <c r="F7" i="2"/>
  <c r="H7" i="2" s="1"/>
  <c r="K7" i="2" s="1"/>
  <c r="F8" i="2"/>
  <c r="H8" i="2" s="1"/>
  <c r="K8" i="2" s="1"/>
  <c r="F9" i="2"/>
  <c r="H9" i="2" s="1"/>
  <c r="I9" i="2" s="1"/>
  <c r="J9" i="2" s="1"/>
  <c r="F10" i="2"/>
  <c r="H10" i="2" s="1"/>
  <c r="I10" i="2" s="1"/>
  <c r="J10" i="2" s="1"/>
  <c r="F11" i="2"/>
  <c r="H11" i="2" s="1"/>
  <c r="I11" i="2" s="1"/>
  <c r="J11" i="2" s="1"/>
  <c r="F12" i="2"/>
  <c r="H12" i="2" s="1"/>
  <c r="I12" i="2" s="1"/>
  <c r="J12" i="2" s="1"/>
  <c r="F13" i="2"/>
  <c r="H13" i="2" s="1"/>
  <c r="I13" i="2" s="1"/>
  <c r="J13" i="2" s="1"/>
  <c r="F14" i="2"/>
  <c r="H14" i="2" s="1"/>
  <c r="I14" i="2" s="1"/>
  <c r="J14" i="2" s="1"/>
  <c r="F15" i="2"/>
  <c r="H15" i="2" s="1"/>
  <c r="I15" i="2" s="1"/>
  <c r="J15" i="2" s="1"/>
  <c r="F16" i="2"/>
  <c r="H16" i="2" s="1"/>
  <c r="I16" i="2" s="1"/>
  <c r="J16" i="2" s="1"/>
  <c r="F17" i="2"/>
  <c r="H17" i="2" s="1"/>
  <c r="I17" i="2" s="1"/>
  <c r="J17" i="2" s="1"/>
  <c r="F18" i="2"/>
  <c r="H18" i="2" s="1"/>
  <c r="K18" i="2" s="1"/>
  <c r="F19" i="2"/>
  <c r="H19" i="2" s="1"/>
  <c r="I19" i="2" s="1"/>
  <c r="J19" i="2" s="1"/>
  <c r="F20" i="2"/>
  <c r="H20" i="2" s="1"/>
  <c r="K20" i="2" s="1"/>
  <c r="F21" i="2"/>
  <c r="H21" i="2" s="1"/>
  <c r="I21" i="2" s="1"/>
  <c r="J21" i="2" s="1"/>
  <c r="F22" i="2"/>
  <c r="H22" i="2" s="1"/>
  <c r="I22" i="2" s="1"/>
  <c r="J22" i="2" s="1"/>
  <c r="F23" i="2"/>
  <c r="H23" i="2" s="1"/>
  <c r="I23" i="2" s="1"/>
  <c r="J23" i="2" s="1"/>
  <c r="F24" i="2"/>
  <c r="H24" i="2" s="1"/>
  <c r="I24" i="2" s="1"/>
  <c r="J24" i="2" s="1"/>
  <c r="F25" i="2"/>
  <c r="F26" i="2"/>
  <c r="F27" i="2"/>
  <c r="L27" i="2" s="1"/>
  <c r="F28" i="2"/>
  <c r="H28" i="2" s="1"/>
  <c r="I28" i="2" s="1"/>
  <c r="J28" i="2" s="1"/>
  <c r="F29" i="2"/>
  <c r="F30" i="2"/>
  <c r="F31" i="2"/>
  <c r="F33" i="2"/>
  <c r="H33" i="2" s="1"/>
  <c r="F34" i="2"/>
  <c r="H34" i="2" s="1"/>
  <c r="I34" i="2" s="1"/>
  <c r="J34" i="2" s="1"/>
  <c r="F35" i="2"/>
  <c r="H35" i="2" s="1"/>
  <c r="I35" i="2" s="1"/>
  <c r="J35" i="2" s="1"/>
  <c r="F36" i="2"/>
  <c r="H36" i="2" s="1"/>
  <c r="F37" i="2"/>
  <c r="H37" i="2" s="1"/>
  <c r="I37" i="2" s="1"/>
  <c r="J37" i="2" s="1"/>
  <c r="F38" i="2"/>
  <c r="H38" i="2" s="1"/>
  <c r="I38" i="2" s="1"/>
  <c r="J38" i="2" s="1"/>
  <c r="F39" i="2"/>
  <c r="H39" i="2" s="1"/>
  <c r="I39" i="2" s="1"/>
  <c r="J39" i="2" s="1"/>
  <c r="F40" i="2"/>
  <c r="H40" i="2" s="1"/>
  <c r="I40" i="2" s="1"/>
  <c r="J40" i="2" s="1"/>
  <c r="F41" i="2"/>
  <c r="H41" i="2" s="1"/>
  <c r="I41" i="2" s="1"/>
  <c r="J41" i="2" s="1"/>
  <c r="F42" i="2"/>
  <c r="H42" i="2" s="1"/>
  <c r="K42" i="2" s="1"/>
  <c r="F43" i="2"/>
  <c r="H43" i="2" s="1"/>
  <c r="K43" i="2" s="1"/>
  <c r="F44" i="2"/>
  <c r="H44" i="2" s="1"/>
  <c r="I44" i="2" s="1"/>
  <c r="J44" i="2" s="1"/>
  <c r="F45" i="2"/>
  <c r="H45" i="2" s="1"/>
  <c r="I45" i="2" s="1"/>
  <c r="J45" i="2" s="1"/>
  <c r="F46" i="2"/>
  <c r="H46" i="2" s="1"/>
  <c r="I46" i="2" s="1"/>
  <c r="J46" i="2" s="1"/>
  <c r="F47" i="2"/>
  <c r="H47" i="2" s="1"/>
  <c r="I47" i="2" s="1"/>
  <c r="J47" i="2" s="1"/>
  <c r="F48" i="2"/>
  <c r="F49" i="2"/>
  <c r="H49" i="2" s="1"/>
  <c r="I49" i="2" s="1"/>
  <c r="J49" i="2" s="1"/>
  <c r="F50" i="2"/>
  <c r="H50" i="2" s="1"/>
  <c r="I50" i="2" s="1"/>
  <c r="J50" i="2" s="1"/>
  <c r="F51" i="2"/>
  <c r="L51" i="2" s="1"/>
  <c r="F52" i="2"/>
  <c r="L52" i="2" s="1"/>
  <c r="F53" i="2"/>
  <c r="H53" i="2" s="1"/>
  <c r="I53" i="2" s="1"/>
  <c r="J53" i="2" s="1"/>
  <c r="F54" i="2"/>
  <c r="H54" i="2" s="1"/>
  <c r="K54" i="2" s="1"/>
  <c r="F55" i="2"/>
  <c r="H55" i="2" s="1"/>
  <c r="K55" i="2" s="1"/>
  <c r="F56" i="2"/>
  <c r="H56" i="2" s="1"/>
  <c r="K56" i="2" s="1"/>
  <c r="F57" i="2"/>
  <c r="H57" i="2" s="1"/>
  <c r="K57" i="2" s="1"/>
  <c r="F58" i="2"/>
  <c r="H58" i="2" s="1"/>
  <c r="I58" i="2" s="1"/>
  <c r="J58" i="2" s="1"/>
  <c r="F59" i="2"/>
  <c r="H59" i="2" s="1"/>
  <c r="I59" i="2" s="1"/>
  <c r="J59" i="2" s="1"/>
  <c r="F60" i="2"/>
  <c r="H60" i="2" s="1"/>
  <c r="I60" i="2" s="1"/>
  <c r="J60" i="2" s="1"/>
  <c r="F61" i="2"/>
  <c r="H61" i="2" s="1"/>
  <c r="I61" i="2" s="1"/>
  <c r="J61" i="2" s="1"/>
  <c r="F62" i="2"/>
  <c r="H62" i="2" s="1"/>
  <c r="I62" i="2" s="1"/>
  <c r="J62" i="2" s="1"/>
  <c r="F63" i="2"/>
  <c r="H63" i="2" s="1"/>
  <c r="I63" i="2" s="1"/>
  <c r="J63" i="2" s="1"/>
  <c r="F64" i="2"/>
  <c r="H64" i="2" s="1"/>
  <c r="I64" i="2" s="1"/>
  <c r="J64" i="2" s="1"/>
  <c r="F65" i="2"/>
  <c r="L65" i="2" s="1"/>
  <c r="F68" i="2"/>
  <c r="H68" i="2" s="1"/>
  <c r="I68" i="2" s="1"/>
  <c r="J68" i="2" s="1"/>
  <c r="F69" i="2"/>
  <c r="H69" i="2" s="1"/>
  <c r="I69" i="2" s="1"/>
  <c r="J69" i="2" s="1"/>
  <c r="F70" i="2"/>
  <c r="H70" i="2" s="1"/>
  <c r="I70" i="2" s="1"/>
  <c r="J70" i="2" s="1"/>
  <c r="F71" i="2"/>
  <c r="L71" i="2" s="1"/>
  <c r="F72" i="2"/>
  <c r="H72" i="2" s="1"/>
  <c r="I72" i="2" s="1"/>
  <c r="J72" i="2" s="1"/>
  <c r="F73" i="2"/>
  <c r="H73" i="2" s="1"/>
  <c r="I73" i="2" s="1"/>
  <c r="J73" i="2" s="1"/>
  <c r="F74" i="2"/>
  <c r="L74" i="2" s="1"/>
  <c r="F75" i="2"/>
  <c r="H75" i="2" s="1"/>
  <c r="I75" i="2" s="1"/>
  <c r="J75" i="2" s="1"/>
  <c r="F76" i="2"/>
  <c r="H76" i="2" s="1"/>
  <c r="I76" i="2" s="1"/>
  <c r="J76" i="2" s="1"/>
  <c r="F77" i="2"/>
  <c r="H77" i="2" s="1"/>
  <c r="I77" i="2" s="1"/>
  <c r="J77" i="2" s="1"/>
  <c r="F78" i="2"/>
  <c r="L78" i="2" s="1"/>
  <c r="F79" i="2"/>
  <c r="L79" i="2" s="1"/>
  <c r="F80" i="2"/>
  <c r="H80" i="2" s="1"/>
  <c r="I80" i="2" s="1"/>
  <c r="J80" i="2" s="1"/>
  <c r="F81" i="2"/>
  <c r="H81" i="2" s="1"/>
  <c r="I81" i="2" s="1"/>
  <c r="J81" i="2" s="1"/>
  <c r="F82" i="2"/>
  <c r="L82" i="2" s="1"/>
  <c r="F84" i="2"/>
  <c r="H84" i="2" s="1"/>
  <c r="I84" i="2" s="1"/>
  <c r="J84" i="2" s="1"/>
  <c r="F86" i="2"/>
  <c r="H86" i="2" s="1"/>
  <c r="K86" i="2" s="1"/>
  <c r="F88" i="2"/>
  <c r="L88" i="2" s="1"/>
  <c r="F89" i="2"/>
  <c r="H89" i="2" s="1"/>
  <c r="K89" i="2" s="1"/>
  <c r="F90" i="2"/>
  <c r="H90" i="2" s="1"/>
  <c r="K90" i="2" s="1"/>
  <c r="F91" i="2"/>
  <c r="H91" i="2" s="1"/>
  <c r="I91" i="2" s="1"/>
  <c r="J91" i="2" s="1"/>
  <c r="F2" i="2"/>
  <c r="L2" i="2" s="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6" i="2"/>
  <c r="D88" i="2"/>
  <c r="D89" i="2"/>
  <c r="D90" i="2"/>
  <c r="D91" i="2"/>
  <c r="D2" i="2"/>
  <c r="B114" i="1"/>
  <c r="E114" i="1"/>
  <c r="M114" i="1" s="1"/>
  <c r="B122" i="1"/>
  <c r="E122" i="1"/>
  <c r="N122" i="1" s="1"/>
  <c r="B130" i="1"/>
  <c r="E130" i="1"/>
  <c r="M130" i="1" s="1"/>
  <c r="E3" i="1"/>
  <c r="N3" i="1" s="1"/>
  <c r="E4" i="1"/>
  <c r="N4" i="1" s="1"/>
  <c r="E5" i="1"/>
  <c r="M5" i="1" s="1"/>
  <c r="E6" i="1"/>
  <c r="N6" i="1" s="1"/>
  <c r="E7" i="1"/>
  <c r="M7" i="1" s="1"/>
  <c r="E8" i="1"/>
  <c r="L8" i="1" s="1"/>
  <c r="E9" i="1"/>
  <c r="L9" i="1" s="1"/>
  <c r="E10" i="1"/>
  <c r="L10" i="1" s="1"/>
  <c r="E11" i="1"/>
  <c r="M11" i="1" s="1"/>
  <c r="E12" i="1"/>
  <c r="M12" i="1" s="1"/>
  <c r="E13" i="1"/>
  <c r="M13" i="1" s="1"/>
  <c r="E14" i="1"/>
  <c r="N14" i="1" s="1"/>
  <c r="E15" i="1"/>
  <c r="N15" i="1" s="1"/>
  <c r="E16" i="1"/>
  <c r="N16" i="1" s="1"/>
  <c r="E17" i="1"/>
  <c r="M17" i="1" s="1"/>
  <c r="E18" i="1"/>
  <c r="M18" i="1" s="1"/>
  <c r="E19" i="1"/>
  <c r="N19" i="1" s="1"/>
  <c r="E20" i="1"/>
  <c r="L20" i="1" s="1"/>
  <c r="E21" i="1"/>
  <c r="L21" i="1" s="1"/>
  <c r="E22" i="1"/>
  <c r="E23" i="1"/>
  <c r="M23" i="1" s="1"/>
  <c r="E24" i="1"/>
  <c r="M24" i="1" s="1"/>
  <c r="E25" i="1"/>
  <c r="M25" i="1" s="1"/>
  <c r="E26" i="1"/>
  <c r="N26" i="1" s="1"/>
  <c r="E27" i="1"/>
  <c r="N27" i="1" s="1"/>
  <c r="E28" i="1"/>
  <c r="N28" i="1" s="1"/>
  <c r="E29" i="1"/>
  <c r="M29" i="1" s="1"/>
  <c r="E30" i="1"/>
  <c r="M30" i="1" s="1"/>
  <c r="E31" i="1"/>
  <c r="N31" i="1" s="1"/>
  <c r="E32" i="1"/>
  <c r="L32" i="1" s="1"/>
  <c r="E33" i="1"/>
  <c r="L33" i="1" s="1"/>
  <c r="E34" i="1"/>
  <c r="L34" i="1" s="1"/>
  <c r="E35" i="1"/>
  <c r="M35" i="1" s="1"/>
  <c r="E36" i="1"/>
  <c r="M36" i="1" s="1"/>
  <c r="E37" i="1"/>
  <c r="M37" i="1" s="1"/>
  <c r="E38" i="1"/>
  <c r="N38" i="1" s="1"/>
  <c r="E39" i="1"/>
  <c r="N39" i="1" s="1"/>
  <c r="E40" i="1"/>
  <c r="N40" i="1" s="1"/>
  <c r="E41" i="1"/>
  <c r="M41" i="1" s="1"/>
  <c r="E42" i="1"/>
  <c r="N42" i="1" s="1"/>
  <c r="E43" i="1"/>
  <c r="N43" i="1" s="1"/>
  <c r="E44" i="1"/>
  <c r="L44" i="1" s="1"/>
  <c r="E45" i="1"/>
  <c r="L45" i="1" s="1"/>
  <c r="E46" i="1"/>
  <c r="L46" i="1" s="1"/>
  <c r="E47" i="1"/>
  <c r="M47" i="1" s="1"/>
  <c r="E48" i="1"/>
  <c r="M48" i="1" s="1"/>
  <c r="E49" i="1"/>
  <c r="M49" i="1" s="1"/>
  <c r="E50" i="1"/>
  <c r="N50" i="1" s="1"/>
  <c r="E51" i="1"/>
  <c r="N51" i="1" s="1"/>
  <c r="E52" i="1"/>
  <c r="N52" i="1" s="1"/>
  <c r="E53" i="1"/>
  <c r="M53" i="1" s="1"/>
  <c r="E54" i="1"/>
  <c r="N54" i="1" s="1"/>
  <c r="E55" i="1"/>
  <c r="N55" i="1" s="1"/>
  <c r="E56" i="1"/>
  <c r="L56" i="1" s="1"/>
  <c r="E57" i="1"/>
  <c r="L57" i="1" s="1"/>
  <c r="E58" i="1"/>
  <c r="L58" i="1" s="1"/>
  <c r="E59" i="1"/>
  <c r="M59" i="1" s="1"/>
  <c r="E60" i="1"/>
  <c r="M60" i="1" s="1"/>
  <c r="E61" i="1"/>
  <c r="M61" i="1" s="1"/>
  <c r="E62" i="1"/>
  <c r="N62" i="1" s="1"/>
  <c r="E63" i="1"/>
  <c r="N63" i="1" s="1"/>
  <c r="E64" i="1"/>
  <c r="N64" i="1" s="1"/>
  <c r="E65" i="1"/>
  <c r="M65" i="1" s="1"/>
  <c r="E66" i="1"/>
  <c r="N66" i="1" s="1"/>
  <c r="E67" i="1"/>
  <c r="N67" i="1" s="1"/>
  <c r="E68" i="1"/>
  <c r="L68" i="1" s="1"/>
  <c r="E69" i="1"/>
  <c r="L69" i="1" s="1"/>
  <c r="E70" i="1"/>
  <c r="L70" i="1" s="1"/>
  <c r="E71" i="1"/>
  <c r="M71" i="1" s="1"/>
  <c r="E72" i="1"/>
  <c r="M72" i="1" s="1"/>
  <c r="E73" i="1"/>
  <c r="M73" i="1" s="1"/>
  <c r="E74" i="1"/>
  <c r="N74" i="1" s="1"/>
  <c r="E75" i="1"/>
  <c r="N75" i="1" s="1"/>
  <c r="E76" i="1"/>
  <c r="N76" i="1" s="1"/>
  <c r="E77" i="1"/>
  <c r="M77" i="1" s="1"/>
  <c r="E78" i="1"/>
  <c r="N78" i="1" s="1"/>
  <c r="E79" i="1"/>
  <c r="N79" i="1" s="1"/>
  <c r="E80" i="1"/>
  <c r="L80" i="1" s="1"/>
  <c r="E81" i="1"/>
  <c r="L81" i="1" s="1"/>
  <c r="E82" i="1"/>
  <c r="L82" i="1" s="1"/>
  <c r="E83" i="1"/>
  <c r="M83" i="1" s="1"/>
  <c r="E84" i="1"/>
  <c r="M84" i="1" s="1"/>
  <c r="E85" i="1"/>
  <c r="M85" i="1" s="1"/>
  <c r="E86" i="1"/>
  <c r="N86" i="1" s="1"/>
  <c r="E87" i="1"/>
  <c r="N87" i="1" s="1"/>
  <c r="E88" i="1"/>
  <c r="N88" i="1" s="1"/>
  <c r="E89" i="1"/>
  <c r="M89" i="1" s="1"/>
  <c r="E90" i="1"/>
  <c r="N90" i="1" s="1"/>
  <c r="E91" i="1"/>
  <c r="N91" i="1" s="1"/>
  <c r="E92" i="1"/>
  <c r="L92" i="1" s="1"/>
  <c r="E93" i="1"/>
  <c r="L93" i="1" s="1"/>
  <c r="E94" i="1"/>
  <c r="L94" i="1" s="1"/>
  <c r="E95" i="1"/>
  <c r="M95" i="1" s="1"/>
  <c r="E96" i="1"/>
  <c r="M96" i="1" s="1"/>
  <c r="E97" i="1"/>
  <c r="M97" i="1" s="1"/>
  <c r="E98" i="1"/>
  <c r="N98" i="1" s="1"/>
  <c r="E99" i="1"/>
  <c r="N99" i="1" s="1"/>
  <c r="E100" i="1"/>
  <c r="N100" i="1" s="1"/>
  <c r="E101" i="1"/>
  <c r="M101" i="1" s="1"/>
  <c r="E102" i="1"/>
  <c r="N102" i="1" s="1"/>
  <c r="E103" i="1"/>
  <c r="N103" i="1" s="1"/>
  <c r="E104" i="1"/>
  <c r="L104" i="1" s="1"/>
  <c r="E105" i="1"/>
  <c r="L105" i="1" s="1"/>
  <c r="E106" i="1"/>
  <c r="L106" i="1" s="1"/>
  <c r="E107" i="1"/>
  <c r="M107" i="1" s="1"/>
  <c r="E108" i="1"/>
  <c r="M108" i="1" s="1"/>
  <c r="E109" i="1"/>
  <c r="M109" i="1" s="1"/>
  <c r="E110" i="1"/>
  <c r="N110" i="1" s="1"/>
  <c r="E111" i="1"/>
  <c r="N111" i="1" s="1"/>
  <c r="E112" i="1"/>
  <c r="N112" i="1" s="1"/>
  <c r="E113" i="1"/>
  <c r="M113" i="1" s="1"/>
  <c r="E115" i="1"/>
  <c r="N115" i="1" s="1"/>
  <c r="E116" i="1"/>
  <c r="L116" i="1" s="1"/>
  <c r="E117" i="1"/>
  <c r="L117" i="1" s="1"/>
  <c r="E118" i="1"/>
  <c r="L118" i="1" s="1"/>
  <c r="E119" i="1"/>
  <c r="M119" i="1" s="1"/>
  <c r="E120" i="1"/>
  <c r="N120" i="1" s="1"/>
  <c r="E121" i="1"/>
  <c r="N121" i="1" s="1"/>
  <c r="E123" i="1"/>
  <c r="N123" i="1" s="1"/>
  <c r="E124" i="1"/>
  <c r="N124" i="1" s="1"/>
  <c r="E125" i="1"/>
  <c r="M125" i="1" s="1"/>
  <c r="E126" i="1"/>
  <c r="N126" i="1" s="1"/>
  <c r="E127" i="1"/>
  <c r="N127" i="1" s="1"/>
  <c r="E128" i="1"/>
  <c r="L128" i="1" s="1"/>
  <c r="E129" i="1"/>
  <c r="M129" i="1" s="1"/>
  <c r="E2" i="1"/>
  <c r="N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5" i="1"/>
  <c r="B116" i="1"/>
  <c r="B117" i="1"/>
  <c r="B118" i="1"/>
  <c r="B119" i="1"/>
  <c r="B120" i="1"/>
  <c r="B121" i="1"/>
  <c r="B123" i="1"/>
  <c r="B124" i="1"/>
  <c r="B125" i="1"/>
  <c r="B126" i="1"/>
  <c r="B127" i="1"/>
  <c r="B128" i="1"/>
  <c r="B129" i="1"/>
  <c r="B2" i="1"/>
  <c r="M45" i="1" l="1"/>
  <c r="N81" i="1"/>
  <c r="L121" i="1"/>
  <c r="L101" i="1"/>
  <c r="L79" i="1"/>
  <c r="L39" i="1"/>
  <c r="L19" i="1"/>
  <c r="M124" i="1"/>
  <c r="M99" i="1"/>
  <c r="M70" i="1"/>
  <c r="M40" i="1"/>
  <c r="M14" i="1"/>
  <c r="N107" i="1"/>
  <c r="N73" i="1"/>
  <c r="N47" i="1"/>
  <c r="N21" i="1"/>
  <c r="L102" i="1"/>
  <c r="L120" i="1"/>
  <c r="L99" i="1"/>
  <c r="L78" i="1"/>
  <c r="L59" i="1"/>
  <c r="L37" i="1"/>
  <c r="L18" i="1"/>
  <c r="M123" i="1"/>
  <c r="M98" i="1"/>
  <c r="M69" i="1"/>
  <c r="M39" i="1"/>
  <c r="M10" i="1"/>
  <c r="N106" i="1"/>
  <c r="N72" i="1"/>
  <c r="N46" i="1"/>
  <c r="N13" i="1"/>
  <c r="M81" i="1"/>
  <c r="M21" i="1"/>
  <c r="N118" i="1"/>
  <c r="N57" i="1"/>
  <c r="M105" i="1"/>
  <c r="N45" i="1"/>
  <c r="L54" i="1"/>
  <c r="M63" i="1"/>
  <c r="M34" i="1"/>
  <c r="N70" i="1"/>
  <c r="L114" i="1"/>
  <c r="L95" i="1"/>
  <c r="L73" i="1"/>
  <c r="L53" i="1"/>
  <c r="L31" i="1"/>
  <c r="L13" i="1"/>
  <c r="M120" i="1"/>
  <c r="M88" i="1"/>
  <c r="M62" i="1"/>
  <c r="M33" i="1"/>
  <c r="M3" i="1"/>
  <c r="N95" i="1"/>
  <c r="N69" i="1"/>
  <c r="N10" i="1"/>
  <c r="M9" i="1"/>
  <c r="L115" i="1"/>
  <c r="L75" i="1"/>
  <c r="L15" i="1"/>
  <c r="M93" i="1"/>
  <c r="L113" i="1"/>
  <c r="L91" i="1"/>
  <c r="L72" i="1"/>
  <c r="L51" i="1"/>
  <c r="L30" i="1"/>
  <c r="L12" i="1"/>
  <c r="M118" i="1"/>
  <c r="M87" i="1"/>
  <c r="M58" i="1"/>
  <c r="M28" i="1"/>
  <c r="N125" i="1"/>
  <c r="N94" i="1"/>
  <c r="N61" i="1"/>
  <c r="N35" i="1"/>
  <c r="N9" i="1"/>
  <c r="L55" i="1"/>
  <c r="L111" i="1"/>
  <c r="L90" i="1"/>
  <c r="L71" i="1"/>
  <c r="L49" i="1"/>
  <c r="L29" i="1"/>
  <c r="L11" i="1"/>
  <c r="M112" i="1"/>
  <c r="M86" i="1"/>
  <c r="M57" i="1"/>
  <c r="M27" i="1"/>
  <c r="N93" i="1"/>
  <c r="N34" i="1"/>
  <c r="L103" i="1"/>
  <c r="L109" i="1"/>
  <c r="L89" i="1"/>
  <c r="L67" i="1"/>
  <c r="L27" i="1"/>
  <c r="M111" i="1"/>
  <c r="M82" i="1"/>
  <c r="M52" i="1"/>
  <c r="M26" i="1"/>
  <c r="N85" i="1"/>
  <c r="N59" i="1"/>
  <c r="N33" i="1"/>
  <c r="N228" i="7"/>
  <c r="O228" i="7" s="1"/>
  <c r="N192" i="7"/>
  <c r="O192" i="7" s="1"/>
  <c r="N71" i="7"/>
  <c r="O71" i="7" s="1"/>
  <c r="N177" i="7"/>
  <c r="O177" i="7" s="1"/>
  <c r="N179" i="7"/>
  <c r="O179" i="7" s="1"/>
  <c r="N73" i="7"/>
  <c r="O73" i="7" s="1"/>
  <c r="N226" i="7"/>
  <c r="O226" i="7" s="1"/>
  <c r="N65" i="7"/>
  <c r="O65" i="7" s="1"/>
  <c r="N16" i="7"/>
  <c r="O16" i="7" s="1"/>
  <c r="N7" i="7"/>
  <c r="O7" i="7" s="1"/>
  <c r="N176" i="7"/>
  <c r="O176" i="7" s="1"/>
  <c r="N186" i="7"/>
  <c r="O186" i="7" s="1"/>
  <c r="N89" i="7"/>
  <c r="O89" i="7" s="1"/>
  <c r="N99" i="7"/>
  <c r="O99" i="7" s="1"/>
  <c r="N57" i="7"/>
  <c r="O57" i="7" s="1"/>
  <c r="N53" i="7"/>
  <c r="O53" i="7" s="1"/>
  <c r="N32" i="7"/>
  <c r="O32" i="7" s="1"/>
  <c r="N50" i="7"/>
  <c r="O50" i="7" s="1"/>
  <c r="N182" i="7"/>
  <c r="O182" i="7" s="1"/>
  <c r="N173" i="7"/>
  <c r="O173" i="7" s="1"/>
  <c r="N108" i="7"/>
  <c r="O108" i="7" s="1"/>
  <c r="N107" i="7"/>
  <c r="O107" i="7" s="1"/>
  <c r="N33" i="7"/>
  <c r="O33" i="7" s="1"/>
  <c r="N24" i="7"/>
  <c r="O24" i="7" s="1"/>
  <c r="N155" i="7"/>
  <c r="O155" i="7" s="1"/>
  <c r="N154" i="7"/>
  <c r="O154" i="7" s="1"/>
  <c r="N130" i="7"/>
  <c r="O130" i="7" s="1"/>
  <c r="N120" i="7"/>
  <c r="O120" i="7" s="1"/>
  <c r="N58" i="7"/>
  <c r="O58" i="7" s="1"/>
  <c r="N184" i="7"/>
  <c r="O184" i="7" s="1"/>
  <c r="N105" i="7"/>
  <c r="O105" i="7" s="1"/>
  <c r="N180" i="7"/>
  <c r="O180" i="7" s="1"/>
  <c r="N215" i="7"/>
  <c r="O215" i="7" s="1"/>
  <c r="N64" i="7"/>
  <c r="O64" i="7" s="1"/>
  <c r="N206" i="7"/>
  <c r="O206" i="7" s="1"/>
  <c r="N161" i="7"/>
  <c r="O161" i="7" s="1"/>
  <c r="N193" i="7"/>
  <c r="O193" i="7" s="1"/>
  <c r="N147" i="7"/>
  <c r="O147" i="7" s="1"/>
  <c r="N51" i="7"/>
  <c r="O51" i="7" s="1"/>
  <c r="N27" i="7"/>
  <c r="O27" i="7" s="1"/>
  <c r="N123" i="7"/>
  <c r="O123" i="7" s="1"/>
  <c r="N26" i="7"/>
  <c r="O26" i="7" s="1"/>
  <c r="N162" i="7"/>
  <c r="O162" i="7" s="1"/>
  <c r="N131" i="7"/>
  <c r="O131" i="7" s="1"/>
  <c r="N79" i="7"/>
  <c r="O79" i="7" s="1"/>
  <c r="N84" i="7"/>
  <c r="O84" i="7" s="1"/>
  <c r="N156" i="7"/>
  <c r="O156" i="7" s="1"/>
  <c r="N216" i="7"/>
  <c r="O216" i="7" s="1"/>
  <c r="N95" i="7"/>
  <c r="O95" i="7" s="1"/>
  <c r="N227" i="7"/>
  <c r="O227" i="7" s="1"/>
  <c r="N74" i="7"/>
  <c r="O74" i="7" s="1"/>
  <c r="N114" i="7"/>
  <c r="O114" i="7" s="1"/>
  <c r="N97" i="7"/>
  <c r="O97" i="7" s="1"/>
  <c r="N187" i="7"/>
  <c r="O187" i="7" s="1"/>
  <c r="N121" i="7"/>
  <c r="O121" i="7" s="1"/>
  <c r="N158" i="7"/>
  <c r="O158" i="7" s="1"/>
  <c r="N134" i="7"/>
  <c r="O134" i="7" s="1"/>
  <c r="N149" i="7"/>
  <c r="O149" i="7" s="1"/>
  <c r="N199" i="7"/>
  <c r="O199" i="7" s="1"/>
  <c r="N163" i="7"/>
  <c r="O163" i="7" s="1"/>
  <c r="N104" i="7"/>
  <c r="O104" i="7" s="1"/>
  <c r="N44" i="7"/>
  <c r="O44" i="7" s="1"/>
  <c r="N19" i="7"/>
  <c r="O19" i="7" s="1"/>
  <c r="N14" i="7"/>
  <c r="O14" i="7" s="1"/>
  <c r="N127" i="7"/>
  <c r="O127" i="7" s="1"/>
  <c r="N110" i="7"/>
  <c r="O110" i="7" s="1"/>
  <c r="N61" i="7"/>
  <c r="O61" i="7" s="1"/>
  <c r="N25" i="7"/>
  <c r="O25" i="7" s="1"/>
  <c r="N2" i="7"/>
  <c r="N109" i="7"/>
  <c r="O109" i="7" s="1"/>
  <c r="N145" i="7"/>
  <c r="O145" i="7" s="1"/>
  <c r="N125" i="7"/>
  <c r="O125" i="7" s="1"/>
  <c r="N133" i="7"/>
  <c r="O133" i="7" s="1"/>
  <c r="N181" i="7"/>
  <c r="O181" i="7" s="1"/>
  <c r="N205" i="7"/>
  <c r="O205" i="7" s="1"/>
  <c r="N194" i="7"/>
  <c r="O194" i="7" s="1"/>
  <c r="N207" i="7"/>
  <c r="O207" i="7" s="1"/>
  <c r="N90" i="7"/>
  <c r="O90" i="7" s="1"/>
  <c r="N188" i="7"/>
  <c r="O188" i="7" s="1"/>
  <c r="N230" i="7"/>
  <c r="O230" i="7" s="1"/>
  <c r="N116" i="7"/>
  <c r="O116" i="7" s="1"/>
  <c r="N153" i="7"/>
  <c r="O153" i="7" s="1"/>
  <c r="N196" i="7"/>
  <c r="O196" i="7" s="1"/>
  <c r="N224" i="7"/>
  <c r="O224" i="7" s="1"/>
  <c r="N136" i="7"/>
  <c r="O136" i="7" s="1"/>
  <c r="N76" i="7"/>
  <c r="O76" i="7" s="1"/>
  <c r="N124" i="7"/>
  <c r="O124" i="7" s="1"/>
  <c r="N82" i="7"/>
  <c r="O82" i="7" s="1"/>
  <c r="N46" i="7"/>
  <c r="O46" i="7" s="1"/>
  <c r="N11" i="7"/>
  <c r="O11" i="7" s="1"/>
  <c r="N210" i="7"/>
  <c r="O210" i="7" s="1"/>
  <c r="N80" i="7"/>
  <c r="O80" i="7" s="1"/>
  <c r="N69" i="7"/>
  <c r="O69" i="7" s="1"/>
  <c r="N67" i="7"/>
  <c r="O67" i="7" s="1"/>
  <c r="N62" i="7"/>
  <c r="O62" i="7" s="1"/>
  <c r="N103" i="7"/>
  <c r="O103" i="7" s="1"/>
  <c r="N6" i="7"/>
  <c r="O6" i="7" s="1"/>
  <c r="N59" i="7"/>
  <c r="O59" i="7" s="1"/>
  <c r="N172" i="7"/>
  <c r="O172" i="7" s="1"/>
  <c r="N78" i="7"/>
  <c r="O78" i="7" s="1"/>
  <c r="N22" i="7"/>
  <c r="O22" i="7" s="1"/>
  <c r="N141" i="7"/>
  <c r="O141" i="7" s="1"/>
  <c r="N93" i="7"/>
  <c r="O93" i="7" s="1"/>
  <c r="N49" i="7"/>
  <c r="O49" i="7" s="1"/>
  <c r="N31" i="7"/>
  <c r="O31" i="7" s="1"/>
  <c r="N115" i="7"/>
  <c r="O115" i="7" s="1"/>
  <c r="N221" i="7"/>
  <c r="O221" i="7" s="1"/>
  <c r="N209" i="7"/>
  <c r="O209" i="7" s="1"/>
  <c r="N170" i="7"/>
  <c r="O170" i="7" s="1"/>
  <c r="N87" i="7"/>
  <c r="O87" i="7" s="1"/>
  <c r="N94" i="7"/>
  <c r="O94" i="7" s="1"/>
  <c r="N10" i="7"/>
  <c r="O10" i="7" s="1"/>
  <c r="N66" i="7"/>
  <c r="O66" i="7" s="1"/>
  <c r="N63" i="7"/>
  <c r="O63" i="7" s="1"/>
  <c r="N129" i="7"/>
  <c r="O129" i="7" s="1"/>
  <c r="N102" i="7"/>
  <c r="O102" i="7" s="1"/>
  <c r="N167" i="7"/>
  <c r="O167" i="7" s="1"/>
  <c r="N20" i="7"/>
  <c r="O20" i="7" s="1"/>
  <c r="N86" i="7"/>
  <c r="O86" i="7" s="1"/>
  <c r="N18" i="7"/>
  <c r="O18" i="7" s="1"/>
  <c r="N55" i="7"/>
  <c r="O55" i="7" s="1"/>
  <c r="N41" i="7"/>
  <c r="O41" i="7" s="1"/>
  <c r="N126" i="7"/>
  <c r="O126" i="7" s="1"/>
  <c r="N117" i="7"/>
  <c r="O117" i="7" s="1"/>
  <c r="N202" i="7"/>
  <c r="O202" i="7" s="1"/>
  <c r="N48" i="7"/>
  <c r="O48" i="7" s="1"/>
  <c r="N9" i="7"/>
  <c r="O9" i="7" s="1"/>
  <c r="N43" i="7"/>
  <c r="O43" i="7" s="1"/>
  <c r="N101" i="7"/>
  <c r="O101" i="7" s="1"/>
  <c r="N223" i="7"/>
  <c r="O223" i="7" s="1"/>
  <c r="N171" i="7"/>
  <c r="O171" i="7" s="1"/>
  <c r="N222" i="7"/>
  <c r="O222" i="7" s="1"/>
  <c r="N111" i="7"/>
  <c r="O111" i="7" s="1"/>
  <c r="N13" i="7"/>
  <c r="O13" i="7" s="1"/>
  <c r="N17" i="7"/>
  <c r="O17" i="7" s="1"/>
  <c r="N168" i="7"/>
  <c r="O168" i="7" s="1"/>
  <c r="N132" i="7"/>
  <c r="O132" i="7" s="1"/>
  <c r="N214" i="7"/>
  <c r="O214" i="7" s="1"/>
  <c r="N201" i="7"/>
  <c r="O201" i="7" s="1"/>
  <c r="N220" i="7"/>
  <c r="O220" i="7" s="1"/>
  <c r="N208" i="7"/>
  <c r="O208" i="7" s="1"/>
  <c r="N160" i="7"/>
  <c r="O160" i="7" s="1"/>
  <c r="N200" i="7"/>
  <c r="O200" i="7" s="1"/>
  <c r="N28" i="7"/>
  <c r="O28" i="7" s="1"/>
  <c r="N165" i="7"/>
  <c r="O165" i="7" s="1"/>
  <c r="N52" i="7"/>
  <c r="O52" i="7" s="1"/>
  <c r="N213" i="7"/>
  <c r="O213" i="7" s="1"/>
  <c r="N197" i="7"/>
  <c r="O197" i="7" s="1"/>
  <c r="N169" i="7"/>
  <c r="O169" i="7" s="1"/>
  <c r="N152" i="7"/>
  <c r="O152" i="7" s="1"/>
  <c r="N3" i="7"/>
  <c r="O3" i="7" s="1"/>
  <c r="N23" i="7"/>
  <c r="O23" i="7" s="1"/>
  <c r="N128" i="7"/>
  <c r="O128" i="7" s="1"/>
  <c r="N15" i="7"/>
  <c r="O15" i="7" s="1"/>
  <c r="N40" i="7"/>
  <c r="O40" i="7" s="1"/>
  <c r="N100" i="7"/>
  <c r="O100" i="7" s="1"/>
  <c r="N112" i="7"/>
  <c r="O112" i="7" s="1"/>
  <c r="N54" i="7"/>
  <c r="O54" i="7" s="1"/>
  <c r="N137" i="7"/>
  <c r="O137" i="7" s="1"/>
  <c r="N98" i="7"/>
  <c r="O98" i="7" s="1"/>
  <c r="N151" i="7"/>
  <c r="O151" i="7" s="1"/>
  <c r="N183" i="7"/>
  <c r="O183" i="7" s="1"/>
  <c r="N139" i="7"/>
  <c r="O139" i="7" s="1"/>
  <c r="N122" i="7"/>
  <c r="O122" i="7" s="1"/>
  <c r="N157" i="7"/>
  <c r="O157" i="7" s="1"/>
  <c r="N113" i="7"/>
  <c r="O113" i="7" s="1"/>
  <c r="N119" i="7"/>
  <c r="O119" i="7" s="1"/>
  <c r="N68" i="7"/>
  <c r="O68" i="7" s="1"/>
  <c r="N85" i="7"/>
  <c r="O85" i="7" s="1"/>
  <c r="N39" i="7"/>
  <c r="O39" i="7" s="1"/>
  <c r="N229" i="7"/>
  <c r="O229" i="7" s="1"/>
  <c r="N91" i="7"/>
  <c r="O91" i="7" s="1"/>
  <c r="N185" i="7"/>
  <c r="O185" i="7" s="1"/>
  <c r="N29" i="7"/>
  <c r="O29" i="7" s="1"/>
  <c r="N204" i="7"/>
  <c r="O204" i="7" s="1"/>
  <c r="N45" i="7"/>
  <c r="O45" i="7" s="1"/>
  <c r="N219" i="7"/>
  <c r="O219" i="7" s="1"/>
  <c r="N42" i="7"/>
  <c r="O42" i="7" s="1"/>
  <c r="N217" i="7"/>
  <c r="O217" i="7" s="1"/>
  <c r="N5" i="7"/>
  <c r="O5" i="7" s="1"/>
  <c r="N37" i="7"/>
  <c r="O37" i="7" s="1"/>
  <c r="N77" i="7"/>
  <c r="O77" i="7" s="1"/>
  <c r="N166" i="7"/>
  <c r="O166" i="7" s="1"/>
  <c r="N118" i="7"/>
  <c r="O118" i="7" s="1"/>
  <c r="N92" i="7"/>
  <c r="O92" i="7" s="1"/>
  <c r="N175" i="7"/>
  <c r="O175" i="7" s="1"/>
  <c r="N189" i="7"/>
  <c r="O189" i="7" s="1"/>
  <c r="N135" i="7"/>
  <c r="O135" i="7" s="1"/>
  <c r="N12" i="7"/>
  <c r="O12" i="7" s="1"/>
  <c r="N47" i="7"/>
  <c r="O47" i="7" s="1"/>
  <c r="N81" i="7"/>
  <c r="O81" i="7" s="1"/>
  <c r="N96" i="7"/>
  <c r="O96" i="7" s="1"/>
  <c r="N35" i="7"/>
  <c r="O35" i="7" s="1"/>
  <c r="N191" i="7"/>
  <c r="O191" i="7" s="1"/>
  <c r="N144" i="7"/>
  <c r="O144" i="7" s="1"/>
  <c r="N70" i="7"/>
  <c r="O70" i="7" s="1"/>
  <c r="N140" i="7"/>
  <c r="O140" i="7" s="1"/>
  <c r="N106" i="7"/>
  <c r="O106" i="7" s="1"/>
  <c r="L73" i="2"/>
  <c r="L72" i="2"/>
  <c r="K83" i="2"/>
  <c r="L83" i="2"/>
  <c r="L59" i="2"/>
  <c r="L47" i="2"/>
  <c r="I57" i="2"/>
  <c r="J57" i="2" s="1"/>
  <c r="K29" i="2"/>
  <c r="K88" i="2"/>
  <c r="L70" i="2"/>
  <c r="L58" i="2"/>
  <c r="L46" i="2"/>
  <c r="L34" i="2"/>
  <c r="L22" i="2"/>
  <c r="L10" i="2"/>
  <c r="L35" i="2"/>
  <c r="H26" i="2"/>
  <c r="I26" i="2" s="1"/>
  <c r="J26" i="2" s="1"/>
  <c r="I56" i="2"/>
  <c r="J56" i="2" s="1"/>
  <c r="K31" i="2"/>
  <c r="K87" i="2"/>
  <c r="L81" i="2"/>
  <c r="L69" i="2"/>
  <c r="L57" i="2"/>
  <c r="L45" i="2"/>
  <c r="L33" i="2"/>
  <c r="L21" i="2"/>
  <c r="L9" i="2"/>
  <c r="K22" i="2"/>
  <c r="K47" i="2"/>
  <c r="K82" i="2"/>
  <c r="I52" i="2"/>
  <c r="J52" i="2" s="1"/>
  <c r="K32" i="2"/>
  <c r="K84" i="2"/>
  <c r="L80" i="2"/>
  <c r="L68" i="2"/>
  <c r="L56" i="2"/>
  <c r="L44" i="2"/>
  <c r="L32" i="2"/>
  <c r="L20" i="2"/>
  <c r="L8" i="2"/>
  <c r="L31" i="2"/>
  <c r="L53" i="2"/>
  <c r="K34" i="2"/>
  <c r="K35" i="2"/>
  <c r="L41" i="2"/>
  <c r="K12" i="2"/>
  <c r="K38" i="2"/>
  <c r="K67" i="2"/>
  <c r="L76" i="2"/>
  <c r="L64" i="2"/>
  <c r="L40" i="2"/>
  <c r="L28" i="2"/>
  <c r="L16" i="2"/>
  <c r="L30" i="2"/>
  <c r="L29" i="2"/>
  <c r="I86" i="2"/>
  <c r="J86" i="2" s="1"/>
  <c r="I20" i="2"/>
  <c r="J20" i="2" s="1"/>
  <c r="K19" i="2"/>
  <c r="K44" i="2"/>
  <c r="K70" i="2"/>
  <c r="L87" i="2"/>
  <c r="L75" i="2"/>
  <c r="L63" i="2"/>
  <c r="L39" i="2"/>
  <c r="L15" i="2"/>
  <c r="L3" i="2"/>
  <c r="K58" i="2"/>
  <c r="K10" i="2"/>
  <c r="K59" i="2"/>
  <c r="L66" i="2"/>
  <c r="L77" i="2"/>
  <c r="K45" i="2"/>
  <c r="K75" i="2"/>
  <c r="L86" i="2"/>
  <c r="L62" i="2"/>
  <c r="L50" i="2"/>
  <c r="L38" i="2"/>
  <c r="L14" i="2"/>
  <c r="I36" i="2"/>
  <c r="J36" i="2" s="1"/>
  <c r="K36" i="2"/>
  <c r="K23" i="2"/>
  <c r="K71" i="2"/>
  <c r="I55" i="2"/>
  <c r="J55" i="2" s="1"/>
  <c r="K60" i="2"/>
  <c r="K91" i="2"/>
  <c r="K48" i="2"/>
  <c r="K72" i="2"/>
  <c r="I89" i="2"/>
  <c r="J89" i="2" s="1"/>
  <c r="I54" i="2"/>
  <c r="J54" i="2" s="1"/>
  <c r="K13" i="2"/>
  <c r="K25" i="2"/>
  <c r="K37" i="2"/>
  <c r="K49" i="2"/>
  <c r="K61" i="2"/>
  <c r="K73" i="2"/>
  <c r="I43" i="2"/>
  <c r="J43" i="2" s="1"/>
  <c r="I42" i="2"/>
  <c r="J42" i="2" s="1"/>
  <c r="K68" i="2"/>
  <c r="K69" i="2"/>
  <c r="K80" i="2"/>
  <c r="K81" i="2"/>
  <c r="K2" i="2"/>
  <c r="K74" i="2"/>
  <c r="K3" i="2"/>
  <c r="K15" i="2"/>
  <c r="K27" i="2"/>
  <c r="K39" i="2"/>
  <c r="K5" i="2"/>
  <c r="K17" i="2"/>
  <c r="K41" i="2"/>
  <c r="K53" i="2"/>
  <c r="K77" i="2"/>
  <c r="I18" i="2"/>
  <c r="J18" i="2" s="1"/>
  <c r="K14" i="2"/>
  <c r="K26" i="2"/>
  <c r="K63" i="2"/>
  <c r="K4" i="2"/>
  <c r="K16" i="2"/>
  <c r="K28" i="2"/>
  <c r="K40" i="2"/>
  <c r="K64" i="2"/>
  <c r="K76" i="2"/>
  <c r="I78" i="2"/>
  <c r="J78" i="2" s="1"/>
  <c r="K6" i="2"/>
  <c r="K30" i="2"/>
  <c r="K85" i="2"/>
  <c r="L124" i="1"/>
  <c r="L112" i="1"/>
  <c r="L100" i="1"/>
  <c r="L88" i="1"/>
  <c r="L76" i="1"/>
  <c r="L64" i="1"/>
  <c r="L52" i="1"/>
  <c r="L40" i="1"/>
  <c r="L28" i="1"/>
  <c r="L16" i="1"/>
  <c r="L4" i="1"/>
  <c r="N130" i="1"/>
  <c r="L123" i="1"/>
  <c r="N129" i="1"/>
  <c r="N117" i="1"/>
  <c r="L122" i="1"/>
  <c r="L110" i="1"/>
  <c r="L98" i="1"/>
  <c r="L86" i="1"/>
  <c r="L74" i="1"/>
  <c r="L62" i="1"/>
  <c r="L50" i="1"/>
  <c r="L38" i="1"/>
  <c r="L26" i="1"/>
  <c r="L14" i="1"/>
  <c r="L2" i="1"/>
  <c r="N128" i="1"/>
  <c r="N116" i="1"/>
  <c r="N104" i="1"/>
  <c r="N92" i="1"/>
  <c r="N80" i="1"/>
  <c r="N68" i="1"/>
  <c r="N56" i="1"/>
  <c r="N44" i="1"/>
  <c r="N32" i="1"/>
  <c r="N20" i="1"/>
  <c r="N8" i="1"/>
  <c r="N7" i="1"/>
  <c r="N30" i="1"/>
  <c r="N101" i="1"/>
  <c r="N77" i="1"/>
  <c r="N53" i="1"/>
  <c r="N5" i="1"/>
  <c r="L130" i="1"/>
  <c r="M127" i="1"/>
  <c r="M115" i="1"/>
  <c r="M103" i="1"/>
  <c r="M91" i="1"/>
  <c r="M79" i="1"/>
  <c r="M67" i="1"/>
  <c r="M55" i="1"/>
  <c r="M43" i="1"/>
  <c r="M31" i="1"/>
  <c r="M19" i="1"/>
  <c r="M117" i="1"/>
  <c r="N18" i="1"/>
  <c r="M128" i="1"/>
  <c r="M116" i="1"/>
  <c r="M104" i="1"/>
  <c r="M92" i="1"/>
  <c r="M68" i="1"/>
  <c r="M56" i="1"/>
  <c r="M44" i="1"/>
  <c r="M32" i="1"/>
  <c r="M20" i="1"/>
  <c r="M8" i="1"/>
  <c r="N113" i="1"/>
  <c r="N89" i="1"/>
  <c r="N65" i="1"/>
  <c r="N41" i="1"/>
  <c r="N17" i="1"/>
  <c r="L129" i="1"/>
  <c r="M126" i="1"/>
  <c r="M102" i="1"/>
  <c r="M90" i="1"/>
  <c r="M78" i="1"/>
  <c r="M66" i="1"/>
  <c r="M54" i="1"/>
  <c r="M42" i="1"/>
  <c r="M6" i="1"/>
  <c r="M2" i="1"/>
  <c r="M80" i="1"/>
  <c r="N29" i="1"/>
  <c r="O2" i="7" l="1"/>
  <c r="L2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55F86-0252-487B-93C6-CB239F35AF1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<sst xmlns="http://schemas.openxmlformats.org/spreadsheetml/2006/main" count="3659" uniqueCount="726">
  <si>
    <t>Employee ID</t>
  </si>
  <si>
    <t>Employee Name</t>
  </si>
  <si>
    <t>Employee First Working Day</t>
  </si>
  <si>
    <t>Designation</t>
  </si>
  <si>
    <t>Team</t>
  </si>
  <si>
    <t>Type</t>
  </si>
  <si>
    <t xml:space="preserve"> Assigned Project 1 Code</t>
  </si>
  <si>
    <t xml:space="preserve"> Assigned Project 2 Code</t>
  </si>
  <si>
    <t xml:space="preserve"> Assigned Project 3 Code</t>
  </si>
  <si>
    <t>EMP-001</t>
  </si>
  <si>
    <t>Rohit Sharma</t>
  </si>
  <si>
    <t>Sr. Consultant</t>
  </si>
  <si>
    <t>Data</t>
  </si>
  <si>
    <t>FTE</t>
  </si>
  <si>
    <t>PRJ-020</t>
  </si>
  <si>
    <t>PRJ-065</t>
  </si>
  <si>
    <t>emp002</t>
  </si>
  <si>
    <t>Anjali Verma</t>
  </si>
  <si>
    <t>Manager</t>
  </si>
  <si>
    <t>Digital</t>
  </si>
  <si>
    <t>PRJ-029</t>
  </si>
  <si>
    <t>PRJ-070</t>
  </si>
  <si>
    <t>EMP 003</t>
  </si>
  <si>
    <t>Suresh Iyer</t>
  </si>
  <si>
    <t>Lead Consultant</t>
  </si>
  <si>
    <t>AI</t>
  </si>
  <si>
    <t>PRJ-007</t>
  </si>
  <si>
    <t>PRJ-056</t>
  </si>
  <si>
    <t>EMP-004</t>
  </si>
  <si>
    <t>Megha Jain</t>
  </si>
  <si>
    <t>03-15-2019</t>
  </si>
  <si>
    <t>Consultant</t>
  </si>
  <si>
    <t>PRJ-040</t>
  </si>
  <si>
    <t>PRJ-053</t>
  </si>
  <si>
    <t>EMP005</t>
  </si>
  <si>
    <t>Neha Malhotra</t>
  </si>
  <si>
    <t>Senior Consultant</t>
  </si>
  <si>
    <t>PRJ-012</t>
  </si>
  <si>
    <t xml:space="preserve">PRJ-067
</t>
  </si>
  <si>
    <t>PRJ-085</t>
  </si>
  <si>
    <t>EMP-006</t>
  </si>
  <si>
    <t>Rahul Mehta</t>
  </si>
  <si>
    <t>Principal Consultant</t>
  </si>
  <si>
    <t>PRJ-011</t>
  </si>
  <si>
    <t>emp-007</t>
  </si>
  <si>
    <t>Priya Nair</t>
  </si>
  <si>
    <t>PRJ-023</t>
  </si>
  <si>
    <t>EMP008</t>
  </si>
  <si>
    <t>Vikram Singh</t>
  </si>
  <si>
    <t>07.08.2020</t>
  </si>
  <si>
    <t>PRJ-013</t>
  </si>
  <si>
    <t>PRJ-051</t>
  </si>
  <si>
    <t>EMP-009</t>
  </si>
  <si>
    <t xml:space="preserve">Karan Ahuja          </t>
  </si>
  <si>
    <t>Analyst</t>
  </si>
  <si>
    <t>Intern</t>
  </si>
  <si>
    <t>PRJ-004</t>
  </si>
  <si>
    <t>EMP-010</t>
  </si>
  <si>
    <t>Pooja Kulkarni</t>
  </si>
  <si>
    <t>PRJ-030</t>
  </si>
  <si>
    <t>EMP011</t>
  </si>
  <si>
    <t>Aman Gupta</t>
  </si>
  <si>
    <t>PRJ-045</t>
  </si>
  <si>
    <t>PRJ-060</t>
  </si>
  <si>
    <t>EMP-012</t>
  </si>
  <si>
    <t>Sneha Rao</t>
  </si>
  <si>
    <t>PRJ-033</t>
  </si>
  <si>
    <t>emp013</t>
  </si>
  <si>
    <t>Rakesh Kumar</t>
  </si>
  <si>
    <t>PRJ-016</t>
  </si>
  <si>
    <t>EMP 014</t>
  </si>
  <si>
    <t>Kavita Joshi</t>
  </si>
  <si>
    <t>PRJ-005</t>
  </si>
  <si>
    <t>PRJ-080</t>
  </si>
  <si>
    <t>EMP-015</t>
  </si>
  <si>
    <t>Nitin Arora</t>
  </si>
  <si>
    <t>01.06.2020</t>
  </si>
  <si>
    <t>PRJ-076</t>
  </si>
  <si>
    <t>PRJ-078</t>
  </si>
  <si>
    <t>emp016</t>
  </si>
  <si>
    <t>Pankaj Mishra</t>
  </si>
  <si>
    <t xml:space="preserve">PRJ-070
</t>
  </si>
  <si>
    <t>EMP-017</t>
  </si>
  <si>
    <t>Swati Kulkarni</t>
  </si>
  <si>
    <t>PRJ-001</t>
  </si>
  <si>
    <t>EMP018</t>
  </si>
  <si>
    <t>Arjun Mehta</t>
  </si>
  <si>
    <t>PRJ-028</t>
  </si>
  <si>
    <t>EMP-019</t>
  </si>
  <si>
    <t>Isha Kapoor</t>
  </si>
  <si>
    <t>EMP020</t>
  </si>
  <si>
    <t>Mohit Bansal</t>
  </si>
  <si>
    <t>PRJ-025</t>
  </si>
  <si>
    <t>PRJ-063</t>
  </si>
  <si>
    <t>PRJ-084</t>
  </si>
  <si>
    <t>emp021</t>
  </si>
  <si>
    <t>Nisha Jain</t>
  </si>
  <si>
    <t>EMP-022</t>
  </si>
  <si>
    <t>Varun Malhotra</t>
  </si>
  <si>
    <t>2018.04.03</t>
  </si>
  <si>
    <t>PRJ-036</t>
  </si>
  <si>
    <t>PRJ-081</t>
  </si>
  <si>
    <t>EMP 023</t>
  </si>
  <si>
    <t>Ritu Saxena</t>
  </si>
  <si>
    <t>PRJ-010</t>
  </si>
  <si>
    <t>PRJ-074</t>
  </si>
  <si>
    <t>EMP-024</t>
  </si>
  <si>
    <t>Akash Verma</t>
  </si>
  <si>
    <t>PRJ-061</t>
  </si>
  <si>
    <t>EMP025</t>
  </si>
  <si>
    <t>Pooja Shah</t>
  </si>
  <si>
    <t>PRJ-002</t>
  </si>
  <si>
    <t>emp026</t>
  </si>
  <si>
    <t>Kunal Desai</t>
  </si>
  <si>
    <t>Freelancer</t>
  </si>
  <si>
    <t>EMP-027</t>
  </si>
  <si>
    <t>Aditi Chawla</t>
  </si>
  <si>
    <t>PRJ-055</t>
  </si>
  <si>
    <t>EMP028</t>
  </si>
  <si>
    <t>Sarthak Jain</t>
  </si>
  <si>
    <t>PRJ-086</t>
  </si>
  <si>
    <t>EMP-029</t>
  </si>
  <si>
    <t>Manish Gupta</t>
  </si>
  <si>
    <t>PRJ-015</t>
  </si>
  <si>
    <t>EMP030</t>
  </si>
  <si>
    <t>Riya Khanna</t>
  </si>
  <si>
    <t>PRJ-021</t>
  </si>
  <si>
    <t>emp031</t>
  </si>
  <si>
    <t>Deepak Yadav</t>
  </si>
  <si>
    <t>EMP-032</t>
  </si>
  <si>
    <t>Shalini Mehra</t>
  </si>
  <si>
    <t>PRJ-050</t>
  </si>
  <si>
    <t>PRJ-058</t>
  </si>
  <si>
    <t>EMP 033</t>
  </si>
  <si>
    <t>Vikas Pandey</t>
  </si>
  <si>
    <t>2016.06.09</t>
  </si>
  <si>
    <t>EMP-034</t>
  </si>
  <si>
    <t>Tanya Arora</t>
  </si>
  <si>
    <t>PRJ-041</t>
  </si>
  <si>
    <t>EMP035</t>
  </si>
  <si>
    <t>Abhishek Sen</t>
  </si>
  <si>
    <t>PRJ-034</t>
  </si>
  <si>
    <t>PRJ-089</t>
  </si>
  <si>
    <t>emp036</t>
  </si>
  <si>
    <t>Meenal Kulkarni</t>
  </si>
  <si>
    <t>PRJ-071</t>
  </si>
  <si>
    <t>PRJ-079</t>
  </si>
  <si>
    <t>EMP-037</t>
  </si>
  <si>
    <t>Rohan Iyer</t>
  </si>
  <si>
    <t>EMP038</t>
  </si>
  <si>
    <t>Simran Kaur</t>
  </si>
  <si>
    <t>EMP-039</t>
  </si>
  <si>
    <t>Gaurav Bhatia</t>
  </si>
  <si>
    <t>PRJ-088</t>
  </si>
  <si>
    <t>EMP040</t>
  </si>
  <si>
    <t>Nivedita Roy</t>
  </si>
  <si>
    <t>2020.03.18</t>
  </si>
  <si>
    <t>emp041</t>
  </si>
  <si>
    <t>Shubham Agarwal</t>
  </si>
  <si>
    <t>EMP-042</t>
  </si>
  <si>
    <t>Pallavi Deshpande</t>
  </si>
  <si>
    <t>PRJ-067</t>
  </si>
  <si>
    <t>EMP 043</t>
  </si>
  <si>
    <t>Harish Nair</t>
  </si>
  <si>
    <t>PRJ-072</t>
  </si>
  <si>
    <t>EMP-044</t>
  </si>
  <si>
    <t>Komal Srivastava</t>
  </si>
  <si>
    <t>11th dec 2024</t>
  </si>
  <si>
    <t>EMP045</t>
  </si>
  <si>
    <t>Siddharth Bose</t>
  </si>
  <si>
    <t>Sr Consultant</t>
  </si>
  <si>
    <t>emp046</t>
  </si>
  <si>
    <t>Neetu Sharma</t>
  </si>
  <si>
    <t>PRJ-031</t>
  </si>
  <si>
    <t>EMP-047</t>
  </si>
  <si>
    <t>Pranav Kulkarni</t>
  </si>
  <si>
    <t>PRJ-006</t>
  </si>
  <si>
    <t>PRJ-068</t>
  </si>
  <si>
    <t>EMP048</t>
  </si>
  <si>
    <t>Ayesha Khan</t>
  </si>
  <si>
    <t>PRJ-026</t>
  </si>
  <si>
    <t>PRJ-069</t>
  </si>
  <si>
    <t>EMP-049</t>
  </si>
  <si>
    <t>Sanjay Pillai</t>
  </si>
  <si>
    <t>EMP050</t>
  </si>
  <si>
    <t>Ruchi Malhotra</t>
  </si>
  <si>
    <t>09th jan 2023</t>
  </si>
  <si>
    <t>EMP051</t>
  </si>
  <si>
    <t>Aarav Mehta</t>
  </si>
  <si>
    <t>QA</t>
  </si>
  <si>
    <t xml:space="preserve">PRJ-069 </t>
  </si>
  <si>
    <t>emp052</t>
  </si>
  <si>
    <t>Nupur Shah</t>
  </si>
  <si>
    <t>Design</t>
  </si>
  <si>
    <t>EMP 053</t>
  </si>
  <si>
    <t>Siddhant Rao</t>
  </si>
  <si>
    <t>PMO</t>
  </si>
  <si>
    <t>PRJ-077</t>
  </si>
  <si>
    <t>EMP-054</t>
  </si>
  <si>
    <t>Kavya Nair</t>
  </si>
  <si>
    <t>PRJ-059</t>
  </si>
  <si>
    <t>EMP055</t>
  </si>
  <si>
    <t>Harshit Gupta</t>
  </si>
  <si>
    <t>Cloud</t>
  </si>
  <si>
    <t>PRJ-009</t>
  </si>
  <si>
    <t>PRJ-052</t>
  </si>
  <si>
    <t>emp056</t>
  </si>
  <si>
    <t>Rohan Kulkarni</t>
  </si>
  <si>
    <t>Support</t>
  </si>
  <si>
    <t>PRJ-017</t>
  </si>
  <si>
    <t>EMP-057</t>
  </si>
  <si>
    <t>Pritam Das</t>
  </si>
  <si>
    <t>2019.05.09</t>
  </si>
  <si>
    <t>EMP058</t>
  </si>
  <si>
    <t>Shreya Malhotra</t>
  </si>
  <si>
    <t>PRJ-064</t>
  </si>
  <si>
    <t>EMP 059</t>
  </si>
  <si>
    <t>Kunal Verma</t>
  </si>
  <si>
    <t>PRJ-087</t>
  </si>
  <si>
    <t>EMP-060</t>
  </si>
  <si>
    <t>Ritu Agarwal</t>
  </si>
  <si>
    <t>PRJ-018</t>
  </si>
  <si>
    <t>emp061</t>
  </si>
  <si>
    <t>Mohan Iyer</t>
  </si>
  <si>
    <t>PRJ-022</t>
  </si>
  <si>
    <t>EMP062</t>
  </si>
  <si>
    <t>Tanya Bose</t>
  </si>
  <si>
    <t>PRJ-024</t>
  </si>
  <si>
    <t>EMP-063</t>
  </si>
  <si>
    <t>Aditya Kapoor</t>
  </si>
  <si>
    <t>PRJ-019</t>
  </si>
  <si>
    <t>EMP064</t>
  </si>
  <si>
    <t>Neelam Singh</t>
  </si>
  <si>
    <t>EMP 065</t>
  </si>
  <si>
    <t>Varsha Kulkarni</t>
  </si>
  <si>
    <t>2018.10.22</t>
  </si>
  <si>
    <t>PRJ-082</t>
  </si>
  <si>
    <t>EMP-066</t>
  </si>
  <si>
    <t>Aman Choudhary</t>
  </si>
  <si>
    <t>PRJ-066</t>
  </si>
  <si>
    <t>emp067</t>
  </si>
  <si>
    <t>Poonam Tiwari</t>
  </si>
  <si>
    <t>EMP068</t>
  </si>
  <si>
    <t>Yash Bansal</t>
  </si>
  <si>
    <t>EMP-069</t>
  </si>
  <si>
    <t>Nikhil Arora</t>
  </si>
  <si>
    <t>EMP070</t>
  </si>
  <si>
    <t>Rashi Malhotra</t>
  </si>
  <si>
    <t>PRJ-037</t>
  </si>
  <si>
    <t>emp071</t>
  </si>
  <si>
    <t>Abhinav Jain</t>
  </si>
  <si>
    <t>PRJ-038</t>
  </si>
  <si>
    <t>EMP072</t>
  </si>
  <si>
    <t>Komal Vyas</t>
  </si>
  <si>
    <t>PRJ-075</t>
  </si>
  <si>
    <t>EMP 073</t>
  </si>
  <si>
    <t>Parth Shah</t>
  </si>
  <si>
    <t>PRJ-027</t>
  </si>
  <si>
    <t>EMP-074</t>
  </si>
  <si>
    <t>Meera Joshi</t>
  </si>
  <si>
    <t>PRJ-008</t>
  </si>
  <si>
    <t>EMP075</t>
  </si>
  <si>
    <t>Raghav Mishra</t>
  </si>
  <si>
    <t>2017.02.16</t>
  </si>
  <si>
    <t>PRJ-042</t>
  </si>
  <si>
    <t>PRJ-073</t>
  </si>
  <si>
    <t>emp076</t>
  </si>
  <si>
    <t>Snehal Patil</t>
  </si>
  <si>
    <t>EMP-077</t>
  </si>
  <si>
    <t>Vimal Khanna</t>
  </si>
  <si>
    <t>EMP078</t>
  </si>
  <si>
    <t>Aishwarya Kulkarni</t>
  </si>
  <si>
    <t>EMP 079</t>
  </si>
  <si>
    <t>Devansh Gupta</t>
  </si>
  <si>
    <t>PRJ-014</t>
  </si>
  <si>
    <t>PRJ-057</t>
  </si>
  <si>
    <t>EMP-080</t>
  </si>
  <si>
    <t>Pallavi Mehta</t>
  </si>
  <si>
    <t>PRJ-054</t>
  </si>
  <si>
    <t>emp081</t>
  </si>
  <si>
    <t>Aniket Rao</t>
  </si>
  <si>
    <t>PRJ-048</t>
  </si>
  <si>
    <t>EMP115</t>
  </si>
  <si>
    <t>Shreya Rai</t>
  </si>
  <si>
    <t>PRJ-032</t>
  </si>
  <si>
    <t>EMP082</t>
  </si>
  <si>
    <t>Rina Dsouza</t>
  </si>
  <si>
    <t>2020.09.02</t>
  </si>
  <si>
    <t>EMP-083</t>
  </si>
  <si>
    <t>Karthik Nair</t>
  </si>
  <si>
    <t>EMP084</t>
  </si>
  <si>
    <t>Shubhi Arora</t>
  </si>
  <si>
    <t>PRJ-003</t>
  </si>
  <si>
    <t>EMP 085</t>
  </si>
  <si>
    <t>Manav Kapoor</t>
  </si>
  <si>
    <t>EMP-086</t>
  </si>
  <si>
    <t>Rupal Shah</t>
  </si>
  <si>
    <t>emp087</t>
  </si>
  <si>
    <t>Vinayak Patil</t>
  </si>
  <si>
    <t>EMP088</t>
  </si>
  <si>
    <t>Ishita Malhotra</t>
  </si>
  <si>
    <t>PRJ-043</t>
  </si>
  <si>
    <t>EMP-089</t>
  </si>
  <si>
    <t>Saurabh Jain</t>
  </si>
  <si>
    <t>EMP090</t>
  </si>
  <si>
    <t>Tanvi Kulkarni</t>
  </si>
  <si>
    <t>emp091</t>
  </si>
  <si>
    <t>Keshav Arora</t>
  </si>
  <si>
    <t>2016.04.01</t>
  </si>
  <si>
    <t>EMP092</t>
  </si>
  <si>
    <t>Monica Bansal</t>
  </si>
  <si>
    <t>EMP 093</t>
  </si>
  <si>
    <t>Rajat Khurana</t>
  </si>
  <si>
    <t>EMP-094</t>
  </si>
  <si>
    <t>Naina Sethi</t>
  </si>
  <si>
    <t>PRJ-083</t>
  </si>
  <si>
    <t>EMP095</t>
  </si>
  <si>
    <t>Ashwin Iyer</t>
  </si>
  <si>
    <t>PRJ-090</t>
  </si>
  <si>
    <t>emp096</t>
  </si>
  <si>
    <t>Preeti Goyal</t>
  </si>
  <si>
    <t>EMP-097</t>
  </si>
  <si>
    <t>Lakshya Jain</t>
  </si>
  <si>
    <t>EMP098</t>
  </si>
  <si>
    <t>Bhavya Malhotra</t>
  </si>
  <si>
    <t>EMP 099</t>
  </si>
  <si>
    <t>Tarun Saxena</t>
  </si>
  <si>
    <t>EMP-100</t>
  </si>
  <si>
    <t>Juhi Kapoor</t>
  </si>
  <si>
    <t>emp101</t>
  </si>
  <si>
    <t>Taarak Goyal</t>
  </si>
  <si>
    <t>emp 102</t>
  </si>
  <si>
    <t>Himank Arora</t>
  </si>
  <si>
    <t>PRJ-049</t>
  </si>
  <si>
    <t>EMP-103</t>
  </si>
  <si>
    <t>Siddhesh Kunda</t>
  </si>
  <si>
    <t>FTe</t>
  </si>
  <si>
    <t>PRJ-035</t>
  </si>
  <si>
    <t xml:space="preserve">PRJ-082 </t>
  </si>
  <si>
    <t>EMP-104</t>
  </si>
  <si>
    <t>Karan Patel</t>
  </si>
  <si>
    <t>2025.12.23</t>
  </si>
  <si>
    <t>PRJ-046</t>
  </si>
  <si>
    <t>emP-105</t>
  </si>
  <si>
    <t>Keona Kerry</t>
  </si>
  <si>
    <t>12-31-25</t>
  </si>
  <si>
    <t>Sr. Analyst</t>
  </si>
  <si>
    <t>Emp-106</t>
  </si>
  <si>
    <t>Krishna Arora</t>
  </si>
  <si>
    <t>Emp-107</t>
  </si>
  <si>
    <t>Neelam Jha</t>
  </si>
  <si>
    <t>emp-108</t>
  </si>
  <si>
    <t>Sanjeev Kapur</t>
  </si>
  <si>
    <t>emp 110</t>
  </si>
  <si>
    <t>Tanu Sehgal</t>
  </si>
  <si>
    <t>emp111</t>
  </si>
  <si>
    <t>Sakshi Ahuja</t>
  </si>
  <si>
    <t>EMP123</t>
  </si>
  <si>
    <t>Srishti Jain</t>
  </si>
  <si>
    <t>2016.12.31</t>
  </si>
  <si>
    <t>PRJ-044</t>
  </si>
  <si>
    <t>EMP-046</t>
  </si>
  <si>
    <t>EMp114</t>
  </si>
  <si>
    <t>Naresh Pal</t>
  </si>
  <si>
    <t>EMP152</t>
  </si>
  <si>
    <t>Deepak Galgotiya</t>
  </si>
  <si>
    <t>EMP130</t>
  </si>
  <si>
    <t>Priya Ratwani</t>
  </si>
  <si>
    <t>PRJ-047</t>
  </si>
  <si>
    <t>Emp135</t>
  </si>
  <si>
    <t>Anchal Rastogi</t>
  </si>
  <si>
    <t>PRJ-039</t>
  </si>
  <si>
    <t>emp-109</t>
  </si>
  <si>
    <t>Nishi Mishra</t>
  </si>
  <si>
    <t>emp-112</t>
  </si>
  <si>
    <t>Atharva Arnav</t>
  </si>
  <si>
    <t>EMP-113</t>
  </si>
  <si>
    <t>Shrey Vishwakarma</t>
  </si>
  <si>
    <t>EMP-115</t>
  </si>
  <si>
    <t>emp-116</t>
  </si>
  <si>
    <t>Anjali Kapoor</t>
  </si>
  <si>
    <t>EMP-117</t>
  </si>
  <si>
    <t>Himanshi Mathur</t>
  </si>
  <si>
    <t xml:space="preserve">PRJ-071
</t>
  </si>
  <si>
    <t>emp-118</t>
  </si>
  <si>
    <t>Ayush Negi</t>
  </si>
  <si>
    <t>EMP-119</t>
  </si>
  <si>
    <t>Aradhya Jha</t>
  </si>
  <si>
    <t>PRJ-062</t>
  </si>
  <si>
    <t>EMP-120</t>
  </si>
  <si>
    <t>Jagdish Pal</t>
  </si>
  <si>
    <t>lead consultant</t>
  </si>
  <si>
    <t>EMP-121</t>
  </si>
  <si>
    <t>Jekanth Kedia</t>
  </si>
  <si>
    <t>EMP-122</t>
  </si>
  <si>
    <t>Ruby Gupta</t>
  </si>
  <si>
    <t>EMP-123</t>
  </si>
  <si>
    <t>Project ID</t>
  </si>
  <si>
    <t>Project Name</t>
  </si>
  <si>
    <t>Start Date</t>
  </si>
  <si>
    <t>End Date</t>
  </si>
  <si>
    <t>Revised End Date</t>
  </si>
  <si>
    <t>Digital Revamp</t>
  </si>
  <si>
    <t>AI Chatbot Rollout</t>
  </si>
  <si>
    <t>Cloud Migration Phase 1</t>
  </si>
  <si>
    <t>Data Lake Setup</t>
  </si>
  <si>
    <t>CRM Enhancement</t>
  </si>
  <si>
    <t>Mobile App Redesign</t>
  </si>
  <si>
    <t>AI Demand Forecasting</t>
  </si>
  <si>
    <t>QA Automation Suite</t>
  </si>
  <si>
    <t>Cloud Cost Optimization</t>
  </si>
  <si>
    <t>Website Performance Boost</t>
  </si>
  <si>
    <t>AI Resume Screener</t>
  </si>
  <si>
    <t>Data Quality Program</t>
  </si>
  <si>
    <t>PMO Dashboard Revamp</t>
  </si>
  <si>
    <t>Support Ticket Analytics</t>
  </si>
  <si>
    <t>Digital Marketing Platform</t>
  </si>
  <si>
    <t>AI Fraud Detection</t>
  </si>
  <si>
    <t>Cloud DR Setup</t>
  </si>
  <si>
    <t>UX Research Initiative</t>
  </si>
  <si>
    <t>QA Process Standardization</t>
  </si>
  <si>
    <t>Data Migration Program</t>
  </si>
  <si>
    <t>AI Recommendation Engine</t>
  </si>
  <si>
    <t>Cloud Security Audit</t>
  </si>
  <si>
    <t>Digital Sales Dashboard</t>
  </si>
  <si>
    <t>Support Knowledge Base</t>
  </si>
  <si>
    <t>AI Voice Bot</t>
  </si>
  <si>
    <t>Data Governance Setup</t>
  </si>
  <si>
    <t>Cloud App Modernization</t>
  </si>
  <si>
    <t>QA Metrics Dashboard</t>
  </si>
  <si>
    <t>Digital Onboarding Flow</t>
  </si>
  <si>
    <t>AI Chat Analytics</t>
  </si>
  <si>
    <t>Support Automation</t>
  </si>
  <si>
    <t>Cloud Monitoring Setup</t>
  </si>
  <si>
    <t>Data Reporting Factory</t>
  </si>
  <si>
    <t>Digital UX Cleanup</t>
  </si>
  <si>
    <t>QA Regression Automation</t>
  </si>
  <si>
    <t>AI Model Retraining</t>
  </si>
  <si>
    <t>Cloud Infra Audit</t>
  </si>
  <si>
    <t>Support SLA Tracker</t>
  </si>
  <si>
    <t>Data Cost Optimization</t>
  </si>
  <si>
    <t>Digital Campaign Tracker</t>
  </si>
  <si>
    <t>AI Knowledge Assistant</t>
  </si>
  <si>
    <t>QA Tool Evaluation</t>
  </si>
  <si>
    <t>Cloud Vendor Assessment</t>
  </si>
  <si>
    <t>Data Archival Strategy</t>
  </si>
  <si>
    <t>Digital Content Platform</t>
  </si>
  <si>
    <t>AI Testing Framework</t>
  </si>
  <si>
    <t>Support Load Analysis</t>
  </si>
  <si>
    <t>Cloud Backup Automation</t>
  </si>
  <si>
    <t>Data Visualization Revamp</t>
  </si>
  <si>
    <t>Digital Workflow Automation</t>
  </si>
  <si>
    <t>AI Document Analyzer</t>
  </si>
  <si>
    <t>Cloud Access Review</t>
  </si>
  <si>
    <t>Digital Funnel Optimization</t>
  </si>
  <si>
    <t>QA Tool Migration</t>
  </si>
  <si>
    <t>Data Pipeline Stabilization</t>
  </si>
  <si>
    <t>AI Knowledge Search</t>
  </si>
  <si>
    <t>Cloud Log Monitoring</t>
  </si>
  <si>
    <t>Digital Asset Cleanup</t>
  </si>
  <si>
    <t>QA Automation Expansion</t>
  </si>
  <si>
    <t>AI Lead Scoring</t>
  </si>
  <si>
    <t>Data Mastering Program</t>
  </si>
  <si>
    <t>Cloud Patch Management</t>
  </si>
  <si>
    <t>Digital Payment Journey</t>
  </si>
  <si>
    <t>QA Performance Metrics</t>
  </si>
  <si>
    <t>AI Risk Scoring Model</t>
  </si>
  <si>
    <t>TBD</t>
  </si>
  <si>
    <t>Cloud Capacity Planning</t>
  </si>
  <si>
    <t>Data Reporting Cleanup</t>
  </si>
  <si>
    <t>Digital SEO Revamp</t>
  </si>
  <si>
    <t>QA Defect Analytics</t>
  </si>
  <si>
    <t>AI Chatbot Enhancement</t>
  </si>
  <si>
    <t>Cloud API Gateway Setup</t>
  </si>
  <si>
    <t>Support Workflow Automation</t>
  </si>
  <si>
    <t>Data Compliance Audit</t>
  </si>
  <si>
    <t>Digital CMS Upgrade</t>
  </si>
  <si>
    <t>QA Release Readiness</t>
  </si>
  <si>
    <t>AI Customer Insights</t>
  </si>
  <si>
    <t>Cloud Resource Tagging</t>
  </si>
  <si>
    <t>Support Capacity Analysis</t>
  </si>
  <si>
    <t>Data Visualization Standards</t>
  </si>
  <si>
    <t>Digital Lead Dashboard</t>
  </si>
  <si>
    <t>AI Model Monitoring</t>
  </si>
  <si>
    <t>QA Tool Rationalization</t>
  </si>
  <si>
    <t>Cloud DR Drill</t>
  </si>
  <si>
    <t>Digital UX Benchmarking</t>
  </si>
  <si>
    <t>Data Quality Scorecard</t>
  </si>
  <si>
    <t>AI Prompt Optimization</t>
  </si>
  <si>
    <t>Cloud FinOps Tracker</t>
  </si>
  <si>
    <t>Support Chat Analytics</t>
  </si>
  <si>
    <t>Digital Conversion Analysis</t>
  </si>
  <si>
    <t>QA Environment Cleanup</t>
  </si>
  <si>
    <t>Corrected Employee ID</t>
  </si>
  <si>
    <t>Corrected Employee First Working Day</t>
  </si>
  <si>
    <t>Row Labels</t>
  </si>
  <si>
    <t>Grand Total</t>
  </si>
  <si>
    <t>Count of Employee Name</t>
  </si>
  <si>
    <t>Column Labels</t>
  </si>
  <si>
    <t>Corrected Start Date</t>
  </si>
  <si>
    <t>Corrected End Date</t>
  </si>
  <si>
    <t>Final End Date</t>
  </si>
  <si>
    <t>In Progress</t>
  </si>
  <si>
    <t>Project Type Duration Wise</t>
  </si>
  <si>
    <t>Duration (&gt;3 months running projects in green)</t>
  </si>
  <si>
    <t>Count of Duration (&gt;3 months running projects in green)</t>
  </si>
  <si>
    <t>(All)</t>
  </si>
  <si>
    <t>I calculated project duration using cleaned start and end dates, incorporating revised timelines where available, and flagged projects exceeding 90 days.</t>
  </si>
  <si>
    <t>I created a pivot-based interactive view using slicers to dynamically analyze employee distribution across teams, designations, and employment types.</t>
  </si>
  <si>
    <t>Year of Joining Date</t>
  </si>
  <si>
    <t>Quarter of Joining Date</t>
  </si>
  <si>
    <t>Missing</t>
  </si>
  <si>
    <t>Quarter &amp; Year of Joining Date</t>
  </si>
  <si>
    <t>Q1</t>
  </si>
  <si>
    <t>Q4</t>
  </si>
  <si>
    <t>Q2</t>
  </si>
  <si>
    <t>Q3</t>
  </si>
  <si>
    <t>I derived Year and Quarter from employee joining dates and built a pivot-based cohort view with slicers for dynamic filtering.</t>
  </si>
  <si>
    <t>Project Status</t>
  </si>
  <si>
    <t>Delay</t>
  </si>
  <si>
    <t>I calculated project delays by comparing planned and final end dates, incorporating revised timelines and categorizing projects as delayed, on-time, or in-progress.</t>
  </si>
  <si>
    <t>Project Code</t>
  </si>
  <si>
    <t>emp001</t>
  </si>
  <si>
    <t>2022-Q1</t>
  </si>
  <si>
    <t>2021-Q1</t>
  </si>
  <si>
    <t>emp003</t>
  </si>
  <si>
    <t>2020-Q3</t>
  </si>
  <si>
    <t>emp004</t>
  </si>
  <si>
    <t>2019-Q1</t>
  </si>
  <si>
    <t>emp005</t>
  </si>
  <si>
    <t>2023-Q2</t>
  </si>
  <si>
    <t>emp006</t>
  </si>
  <si>
    <t>2018-Q4</t>
  </si>
  <si>
    <t>emp007</t>
  </si>
  <si>
    <t>2017-Q2</t>
  </si>
  <si>
    <t>emp008</t>
  </si>
  <si>
    <t>emp009</t>
  </si>
  <si>
    <t>emp010</t>
  </si>
  <si>
    <t>2025-Q1</t>
  </si>
  <si>
    <t>emp011</t>
  </si>
  <si>
    <t>2019-Q3</t>
  </si>
  <si>
    <t>emp012</t>
  </si>
  <si>
    <t>2024-Q1</t>
  </si>
  <si>
    <t>emp014</t>
  </si>
  <si>
    <t>2017-Q1</t>
  </si>
  <si>
    <t>emp015</t>
  </si>
  <si>
    <t>2020-Q1</t>
  </si>
  <si>
    <t>2016-Q4</t>
  </si>
  <si>
    <t>emp017</t>
  </si>
  <si>
    <t>2021-Q3</t>
  </si>
  <si>
    <t>emp018</t>
  </si>
  <si>
    <t>emp019</t>
  </si>
  <si>
    <t>2020-Q4</t>
  </si>
  <si>
    <t>emp020</t>
  </si>
  <si>
    <t>emp022</t>
  </si>
  <si>
    <t>2018-Q2</t>
  </si>
  <si>
    <t>emp023</t>
  </si>
  <si>
    <t>emp024</t>
  </si>
  <si>
    <t>2022-Q3</t>
  </si>
  <si>
    <t>emp025</t>
  </si>
  <si>
    <t>2016-Q1</t>
  </si>
  <si>
    <t>emp027</t>
  </si>
  <si>
    <t>2019-Q4</t>
  </si>
  <si>
    <t>emp028</t>
  </si>
  <si>
    <t>2021-Q2</t>
  </si>
  <si>
    <t>emp029</t>
  </si>
  <si>
    <t>2018-Q3</t>
  </si>
  <si>
    <t>emp030</t>
  </si>
  <si>
    <t>2022-Q4</t>
  </si>
  <si>
    <t>emp032</t>
  </si>
  <si>
    <t>emp033</t>
  </si>
  <si>
    <t>2016-Q2</t>
  </si>
  <si>
    <t>emp034</t>
  </si>
  <si>
    <t>2020-Q2</t>
  </si>
  <si>
    <t>emp035</t>
  </si>
  <si>
    <t>2021-Q4</t>
  </si>
  <si>
    <t>2018-Q1</t>
  </si>
  <si>
    <t>emp037</t>
  </si>
  <si>
    <t>emp038</t>
  </si>
  <si>
    <t>emp039</t>
  </si>
  <si>
    <t>2015-Q4</t>
  </si>
  <si>
    <t>emp040</t>
  </si>
  <si>
    <t>emp042</t>
  </si>
  <si>
    <t>emp043</t>
  </si>
  <si>
    <t>emp044</t>
  </si>
  <si>
    <t>2024-Q4</t>
  </si>
  <si>
    <t>emp045</t>
  </si>
  <si>
    <t>2022-Q2</t>
  </si>
  <si>
    <t>emp047</t>
  </si>
  <si>
    <t>2017-Q4</t>
  </si>
  <si>
    <t>emp048</t>
  </si>
  <si>
    <t>2019-Q2</t>
  </si>
  <si>
    <t>emp049</t>
  </si>
  <si>
    <t>2015-Q1</t>
  </si>
  <si>
    <t>emp050</t>
  </si>
  <si>
    <t>2023-Q1</t>
  </si>
  <si>
    <t>emp051</t>
  </si>
  <si>
    <t>emp053</t>
  </si>
  <si>
    <t>emp054</t>
  </si>
  <si>
    <t>emp055</t>
  </si>
  <si>
    <t>emp057</t>
  </si>
  <si>
    <t>emp058</t>
  </si>
  <si>
    <t>emp059</t>
  </si>
  <si>
    <t>emp060</t>
  </si>
  <si>
    <t>2017-Q3</t>
  </si>
  <si>
    <t>emp062</t>
  </si>
  <si>
    <t>emp063</t>
  </si>
  <si>
    <t>emp064</t>
  </si>
  <si>
    <t>emp065</t>
  </si>
  <si>
    <t>emp066</t>
  </si>
  <si>
    <t>emp068</t>
  </si>
  <si>
    <t>emp069</t>
  </si>
  <si>
    <t>emp070</t>
  </si>
  <si>
    <t>2016-Q3</t>
  </si>
  <si>
    <t>emp072</t>
  </si>
  <si>
    <t>emp073</t>
  </si>
  <si>
    <t>emp074</t>
  </si>
  <si>
    <t>emp075</t>
  </si>
  <si>
    <t>emp077</t>
  </si>
  <si>
    <t>emp078</t>
  </si>
  <si>
    <t>emp079</t>
  </si>
  <si>
    <t>emp080</t>
  </si>
  <si>
    <t>emp115</t>
  </si>
  <si>
    <t>emp082</t>
  </si>
  <si>
    <t>emp083</t>
  </si>
  <si>
    <t>emp084</t>
  </si>
  <si>
    <t>emp085</t>
  </si>
  <si>
    <t>emp086</t>
  </si>
  <si>
    <t>emp088</t>
  </si>
  <si>
    <t>emp089</t>
  </si>
  <si>
    <t>emp090</t>
  </si>
  <si>
    <t>emp092</t>
  </si>
  <si>
    <t>emp093</t>
  </si>
  <si>
    <t>emp094</t>
  </si>
  <si>
    <t>emp095</t>
  </si>
  <si>
    <t>emp097</t>
  </si>
  <si>
    <t>emp098</t>
  </si>
  <si>
    <t>emp099</t>
  </si>
  <si>
    <t>emp100</t>
  </si>
  <si>
    <t>emp102</t>
  </si>
  <si>
    <t>2025-Q4</t>
  </si>
  <si>
    <t>emp103</t>
  </si>
  <si>
    <t>emp104</t>
  </si>
  <si>
    <t>emp105</t>
  </si>
  <si>
    <t>emp106</t>
  </si>
  <si>
    <t>emp107</t>
  </si>
  <si>
    <t>emp108</t>
  </si>
  <si>
    <t>emp110</t>
  </si>
  <si>
    <t>2023-Q4</t>
  </si>
  <si>
    <t>emp123</t>
  </si>
  <si>
    <t>emp114</t>
  </si>
  <si>
    <t>emp152</t>
  </si>
  <si>
    <t>emp130</t>
  </si>
  <si>
    <t>emp135</t>
  </si>
  <si>
    <t>emp109</t>
  </si>
  <si>
    <t>emp112</t>
  </si>
  <si>
    <t>emp113</t>
  </si>
  <si>
    <t>emp116</t>
  </si>
  <si>
    <t>emp117</t>
  </si>
  <si>
    <t>emp118</t>
  </si>
  <si>
    <t>emp119</t>
  </si>
  <si>
    <t>emp120</t>
  </si>
  <si>
    <t>emp121</t>
  </si>
  <si>
    <t>emp122</t>
  </si>
  <si>
    <t>I normalized the project allocation data using unpivoting to create a one-to-many mapping between employees and projects</t>
  </si>
  <si>
    <t>Active Project Count</t>
  </si>
  <si>
    <t>Over Allocation</t>
  </si>
  <si>
    <t>I joined employee-project mapping with project timelines and applied overlap logic using COUNTIFS to identify employees handling more than two concurrent projects.</t>
  </si>
  <si>
    <t>Overallocated Employees</t>
  </si>
  <si>
    <t>Emp Name</t>
  </si>
  <si>
    <t>Emp ID</t>
  </si>
  <si>
    <t>I dynamically extracted overallocated employees using FILTER to create a live view of high-risk resource allocation</t>
  </si>
  <si>
    <t>Project Count</t>
  </si>
  <si>
    <t>Client Hrs</t>
  </si>
  <si>
    <t>Senior Analyst</t>
  </si>
  <si>
    <t>Adhoc Hrs</t>
  </si>
  <si>
    <t>Client Hours</t>
  </si>
  <si>
    <t>Adhoc Hours</t>
  </si>
  <si>
    <t>Total Workload</t>
  </si>
  <si>
    <t>Utilisation</t>
  </si>
  <si>
    <t>I calculated workload using project counts and role-based effort assumptions, then classified employees into utilization categories to identify potential burnout.</t>
  </si>
  <si>
    <t>Initiative ID</t>
  </si>
  <si>
    <t>Initiative Name</t>
  </si>
  <si>
    <t>Owner</t>
  </si>
  <si>
    <t>Status</t>
  </si>
  <si>
    <t>Priority</t>
  </si>
  <si>
    <t>Progress %</t>
  </si>
  <si>
    <t>Remarks</t>
  </si>
  <si>
    <t>INT-001</t>
  </si>
  <si>
    <t>High</t>
  </si>
  <si>
    <t>INT-002</t>
  </si>
  <si>
    <t>Not Started</t>
  </si>
  <si>
    <t>Medium</t>
  </si>
  <si>
    <t>Business Unit / Team</t>
  </si>
  <si>
    <t>Risk Level</t>
  </si>
  <si>
    <t>Overdue Flag</t>
  </si>
  <si>
    <t>Budget</t>
  </si>
  <si>
    <t>AI Forecasting Model</t>
  </si>
  <si>
    <t>Rahul Sharma</t>
  </si>
  <si>
    <t>On track</t>
  </si>
  <si>
    <t>Hiring Expansion Plan</t>
  </si>
  <si>
    <t>HR</t>
  </si>
  <si>
    <t>Neha Verma</t>
  </si>
  <si>
    <t>Low</t>
  </si>
  <si>
    <t>Planning stage</t>
  </si>
  <si>
    <t>INT-003</t>
  </si>
  <si>
    <t>Cloud Migration</t>
  </si>
  <si>
    <t>IT</t>
  </si>
  <si>
    <t>Completed</t>
  </si>
  <si>
    <t>Successfully delivered</t>
  </si>
  <si>
    <t>INT-004</t>
  </si>
  <si>
    <t>Client Dashboard Revamp</t>
  </si>
  <si>
    <t>UI redesign ongoing</t>
  </si>
  <si>
    <t>INT-005</t>
  </si>
  <si>
    <t>Automation Testing Setup</t>
  </si>
  <si>
    <t>Delayed due to resource gap</t>
  </si>
  <si>
    <t>INT-006</t>
  </si>
  <si>
    <t>Data Governance Framework</t>
  </si>
  <si>
    <t>Yet to begin</t>
  </si>
  <si>
    <t>INT-007</t>
  </si>
  <si>
    <t>AI Chatbot Implementation</t>
  </si>
  <si>
    <t>Model training ongoing</t>
  </si>
  <si>
    <t>INT-008</t>
  </si>
  <si>
    <t>Security Compliance Upgrade</t>
  </si>
  <si>
    <t>Compliance achieved</t>
  </si>
  <si>
    <t>I created a structured initiative tracker with realistic data, incorporating timelines, risk, priority, and automated overdue tracking for better project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</si>
</sst>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F800]dddd\,\ mmmm\ dd\,\ yyyy"/>
    <numFmt numFmtId="168" formatCode="m/d/yyyy;@"/>
    <numFmt numFmtId="173" formatCode="dd/mmm/yy"/>
  </numFmts>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sz val="8"/>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7C80"/>
        <bgColor indexed="64"/>
      </patternFill>
    </fill>
    <fill>
      <patternFill patternType="solid">
        <fgColor theme="4"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0" fillId="0" borderId="1" xfId="0" applyBorder="1"/>
    <xf numFmtId="0" fontId="0" fillId="0" borderId="1" xfId="0" applyBorder="1" applyAlignment="1">
      <alignment vertical="center" wrapText="1"/>
    </xf>
    <xf numFmtId="164" fontId="0" fillId="0" borderId="1" xfId="0" applyNumberFormat="1"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1" fillId="2" borderId="1" xfId="0" applyFont="1" applyFill="1" applyBorder="1" applyAlignment="1">
      <alignment horizontal="center" vertical="center" wrapText="1"/>
    </xf>
    <xf numFmtId="14" fontId="0" fillId="0" borderId="1" xfId="0" applyNumberFormat="1" applyBorder="1" applyAlignment="1">
      <alignment vertical="center" wrapText="1"/>
    </xf>
    <xf numFmtId="0" fontId="2" fillId="0" borderId="1" xfId="0" applyFont="1" applyBorder="1" applyAlignment="1">
      <alignment vertical="center" wrapText="1"/>
    </xf>
    <xf numFmtId="0" fontId="2" fillId="0" borderId="1" xfId="0" applyFont="1" applyBorder="1"/>
    <xf numFmtId="0" fontId="2" fillId="0" borderId="1" xfId="0" applyFont="1" applyBorder="1" applyAlignment="1">
      <alignment wrapText="1"/>
    </xf>
    <xf numFmtId="15" fontId="0" fillId="0" borderId="1" xfId="0" applyNumberFormat="1" applyBorder="1" applyAlignment="1">
      <alignment vertical="center" wrapText="1"/>
    </xf>
    <xf numFmtId="165" fontId="0" fillId="0" borderId="1" xfId="0" applyNumberFormat="1" applyBorder="1" applyAlignment="1">
      <alignment vertical="center" wrapText="1"/>
    </xf>
    <xf numFmtId="14" fontId="0" fillId="0" borderId="1" xfId="0" applyNumberFormat="1" applyBorder="1"/>
    <xf numFmtId="15" fontId="0" fillId="0" borderId="1" xfId="0" applyNumberFormat="1" applyBorder="1"/>
    <xf numFmtId="14" fontId="0" fillId="0" borderId="0" xfId="0" applyNumberFormat="1" applyBorder="1"/>
    <xf numFmtId="0" fontId="0" fillId="0" borderId="3" xfId="0" applyBorder="1" applyAlignment="1">
      <alignment vertical="center" wrapText="1"/>
    </xf>
    <xf numFmtId="0" fontId="0" fillId="0" borderId="4" xfId="0" applyBorder="1"/>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7" xfId="0" applyBorder="1" applyAlignment="1">
      <alignment vertical="center" wrapText="1"/>
    </xf>
    <xf numFmtId="0" fontId="0" fillId="0" borderId="8" xfId="0" applyBorder="1"/>
    <xf numFmtId="14" fontId="0" fillId="0" borderId="8" xfId="0" applyNumberFormat="1" applyBorder="1"/>
    <xf numFmtId="14" fontId="0" fillId="0" borderId="8" xfId="0" applyNumberFormat="1" applyBorder="1" applyAlignment="1">
      <alignment vertical="center" wrapText="1"/>
    </xf>
    <xf numFmtId="0" fontId="0" fillId="0" borderId="9" xfId="0" applyBorder="1"/>
    <xf numFmtId="0" fontId="0" fillId="0" borderId="7"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xf numFmtId="173" fontId="0" fillId="0" borderId="1" xfId="0" applyNumberFormat="1" applyBorder="1" applyAlignment="1">
      <alignment horizontal="left" vertical="top"/>
    </xf>
    <xf numFmtId="173" fontId="0" fillId="0" borderId="1" xfId="0" applyNumberFormat="1" applyBorder="1" applyAlignment="1">
      <alignment horizontal="left" vertical="top" wrapText="1"/>
    </xf>
    <xf numFmtId="173" fontId="0" fillId="0" borderId="0" xfId="0" applyNumberFormat="1" applyAlignment="1">
      <alignment horizontal="left"/>
    </xf>
    <xf numFmtId="0" fontId="0" fillId="0" borderId="3" xfId="0" applyBorder="1"/>
    <xf numFmtId="0" fontId="1" fillId="2" borderId="5" xfId="0" applyFont="1" applyFill="1" applyBorder="1"/>
    <xf numFmtId="0" fontId="1" fillId="2" borderId="2" xfId="0" applyFont="1" applyFill="1" applyBorder="1"/>
    <xf numFmtId="14" fontId="0" fillId="0" borderId="8" xfId="0" applyNumberFormat="1" applyBorder="1" applyAlignment="1">
      <alignment horizontal="left" vertical="top"/>
    </xf>
    <xf numFmtId="164" fontId="0" fillId="0" borderId="8" xfId="0" applyNumberFormat="1" applyBorder="1" applyAlignment="1">
      <alignment horizontal="left" vertical="top"/>
    </xf>
    <xf numFmtId="2" fontId="0" fillId="0" borderId="1" xfId="0" applyNumberFormat="1" applyBorder="1" applyAlignment="1">
      <alignment horizontal="left" vertical="top"/>
    </xf>
    <xf numFmtId="2" fontId="0" fillId="0" borderId="8" xfId="0" applyNumberFormat="1" applyBorder="1" applyAlignment="1">
      <alignment horizontal="left" vertical="top"/>
    </xf>
    <xf numFmtId="0" fontId="0" fillId="0" borderId="0" xfId="0" applyAlignment="1">
      <alignment horizontal="left" vertical="top"/>
    </xf>
    <xf numFmtId="0" fontId="1" fillId="2" borderId="2" xfId="0" applyFont="1" applyFill="1" applyBorder="1" applyAlignment="1">
      <alignment wrapText="1"/>
    </xf>
    <xf numFmtId="0" fontId="0" fillId="0" borderId="0" xfId="0" applyAlignment="1">
      <alignment horizontal="center" wrapText="1"/>
    </xf>
    <xf numFmtId="0" fontId="0" fillId="0" borderId="0" xfId="0" applyAlignment="1">
      <alignment wrapText="1"/>
    </xf>
    <xf numFmtId="0" fontId="0" fillId="2" borderId="6" xfId="0" applyFont="1" applyFill="1" applyBorder="1" applyAlignment="1">
      <alignment horizontal="center" vertical="center" wrapText="1"/>
    </xf>
    <xf numFmtId="173" fontId="1" fillId="2" borderId="2" xfId="0" applyNumberFormat="1" applyFont="1" applyFill="1" applyBorder="1" applyAlignment="1">
      <alignment horizontal="left" wrapText="1"/>
    </xf>
    <xf numFmtId="0" fontId="1" fillId="2" borderId="6" xfId="0" applyFont="1" applyFill="1" applyBorder="1" applyAlignment="1">
      <alignment wrapText="1"/>
    </xf>
    <xf numFmtId="0" fontId="0" fillId="0" borderId="4" xfId="0" applyBorder="1" applyAlignment="1">
      <alignment horizontal="left" vertical="top"/>
    </xf>
    <xf numFmtId="168" fontId="0" fillId="0" borderId="1" xfId="0" applyNumberFormat="1" applyBorder="1" applyAlignment="1">
      <alignment horizontal="left" vertical="top" wrapText="1"/>
    </xf>
    <xf numFmtId="173" fontId="0" fillId="0" borderId="8" xfId="0" applyNumberFormat="1" applyBorder="1" applyAlignment="1">
      <alignment horizontal="left" vertical="top"/>
    </xf>
    <xf numFmtId="0" fontId="0" fillId="0" borderId="9" xfId="0" applyBorder="1" applyAlignment="1">
      <alignment horizontal="left" vertical="top"/>
    </xf>
    <xf numFmtId="0" fontId="1" fillId="2" borderId="2" xfId="0" applyFont="1" applyFill="1" applyBorder="1" applyAlignment="1">
      <alignment horizontal="left" vertical="center" wrapText="1"/>
    </xf>
    <xf numFmtId="0" fontId="0" fillId="0" borderId="1" xfId="0" applyBorder="1" applyAlignment="1">
      <alignment horizontal="left"/>
    </xf>
    <xf numFmtId="0" fontId="0" fillId="0" borderId="8" xfId="0" applyBorder="1" applyAlignment="1">
      <alignment horizontal="left"/>
    </xf>
    <xf numFmtId="0" fontId="0" fillId="0" borderId="0" xfId="0" applyAlignment="1">
      <alignment horizontal="center" vertical="top" wrapText="1"/>
    </xf>
    <xf numFmtId="0" fontId="0" fillId="4" borderId="0" xfId="0" applyFill="1" applyAlignment="1">
      <alignment horizontal="left" vertical="top"/>
    </xf>
    <xf numFmtId="0" fontId="0" fillId="0" borderId="0" xfId="0" applyFill="1"/>
    <xf numFmtId="49" fontId="0" fillId="3" borderId="0" xfId="0" applyNumberFormat="1" applyFill="1" applyAlignment="1">
      <alignment horizontal="left" vertical="top"/>
    </xf>
    <xf numFmtId="0" fontId="0" fillId="3" borderId="0" xfId="0" applyFill="1" applyAlignment="1">
      <alignment horizontal="left" vertical="top"/>
    </xf>
    <xf numFmtId="2" fontId="0" fillId="5" borderId="0" xfId="0" applyNumberFormat="1" applyFill="1" applyAlignment="1">
      <alignment horizontal="left" vertical="top"/>
    </xf>
    <xf numFmtId="0" fontId="0" fillId="5" borderId="0" xfId="0" applyFill="1" applyAlignment="1">
      <alignment horizontal="left" vertical="top"/>
    </xf>
    <xf numFmtId="22" fontId="0" fillId="0" borderId="0" xfId="0" applyNumberFormat="1"/>
    <xf numFmtId="14" fontId="0" fillId="0" borderId="0" xfId="0" applyNumberFormat="1" applyAlignment="1">
      <alignment horizontal="right"/>
    </xf>
    <xf numFmtId="14" fontId="0" fillId="0" borderId="0" xfId="0" applyNumberFormat="1" applyBorder="1" applyAlignment="1">
      <alignment horizontal="right" vertical="top"/>
    </xf>
    <xf numFmtId="0" fontId="0" fillId="0" borderId="0" xfId="0" applyAlignment="1"/>
    <xf numFmtId="0" fontId="0" fillId="0" borderId="13" xfId="0" applyBorder="1"/>
    <xf numFmtId="0" fontId="0" fillId="0" borderId="14" xfId="0" applyBorder="1"/>
    <xf numFmtId="0" fontId="0" fillId="0" borderId="15" xfId="0" applyBorder="1"/>
    <xf numFmtId="0" fontId="0" fillId="0" borderId="16" xfId="0" applyBorder="1"/>
    <xf numFmtId="0" fontId="0" fillId="0" borderId="12" xfId="0" applyBorder="1"/>
    <xf numFmtId="0" fontId="0" fillId="0" borderId="17" xfId="0" applyBorder="1"/>
    <xf numFmtId="0" fontId="0" fillId="0" borderId="18" xfId="0" applyBorder="1"/>
    <xf numFmtId="0" fontId="0" fillId="0" borderId="19" xfId="0" applyBorder="1"/>
    <xf numFmtId="0" fontId="0" fillId="6" borderId="0" xfId="0" applyFill="1" applyAlignment="1">
      <alignment horizontal="center"/>
    </xf>
    <xf numFmtId="0" fontId="0" fillId="0" borderId="0" xfId="0" applyAlignment="1">
      <alignment vertical="top" wrapText="1"/>
    </xf>
    <xf numFmtId="0" fontId="1" fillId="0" borderId="0" xfId="0" applyFont="1" applyAlignment="1">
      <alignment horizontal="center" vertical="center" wrapText="1"/>
    </xf>
    <xf numFmtId="0" fontId="0" fillId="0" borderId="0" xfId="0" applyAlignment="1">
      <alignment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xf numFmtId="0" fontId="0" fillId="0" borderId="9" xfId="0" applyBorder="1" applyAlignment="1">
      <alignment vertical="center" wrapText="1"/>
    </xf>
    <xf numFmtId="0" fontId="0" fillId="0" borderId="8" xfId="0" applyBorder="1" applyAlignment="1">
      <alignment vertical="center" wrapText="1"/>
    </xf>
    <xf numFmtId="0" fontId="0" fillId="0" borderId="20" xfId="0" applyBorder="1" applyAlignment="1">
      <alignment vertical="center" wrapText="1"/>
    </xf>
    <xf numFmtId="0" fontId="0" fillId="0" borderId="2" xfId="0" applyBorder="1" applyAlignment="1">
      <alignment vertical="center" wrapText="1"/>
    </xf>
    <xf numFmtId="0" fontId="1" fillId="0" borderId="8" xfId="0" applyFont="1" applyBorder="1" applyAlignment="1">
      <alignment horizontal="center" vertical="center" wrapText="1"/>
    </xf>
    <xf numFmtId="0" fontId="1" fillId="7" borderId="0" xfId="0" applyFont="1" applyFill="1"/>
    <xf numFmtId="10" fontId="0" fillId="0" borderId="0" xfId="0" applyNumberFormat="1"/>
    <xf numFmtId="15" fontId="0" fillId="0" borderId="0" xfId="0" applyNumberFormat="1" applyAlignment="1">
      <alignment vertical="center" wrapText="1"/>
    </xf>
    <xf numFmtId="9" fontId="0" fillId="0" borderId="0" xfId="0" applyNumberFormat="1" applyAlignment="1">
      <alignment vertical="center" wrapText="1"/>
    </xf>
    <xf numFmtId="0" fontId="0" fillId="0" borderId="16" xfId="0" applyBorder="1" applyAlignment="1">
      <alignment vertical="center" wrapText="1"/>
    </xf>
    <xf numFmtId="0" fontId="0" fillId="0" borderId="21" xfId="0" applyBorder="1" applyAlignment="1">
      <alignment vertical="center" wrapText="1"/>
    </xf>
    <xf numFmtId="10" fontId="0" fillId="0" borderId="21" xfId="0" applyNumberFormat="1" applyBorder="1" applyAlignment="1">
      <alignment vertical="center" wrapText="1"/>
    </xf>
    <xf numFmtId="0" fontId="0" fillId="0" borderId="21" xfId="0" applyBorder="1" applyAlignment="1">
      <alignment vertical="center"/>
    </xf>
    <xf numFmtId="0" fontId="0" fillId="0" borderId="22" xfId="0" applyBorder="1" applyAlignment="1">
      <alignment vertical="center" wrapText="1"/>
    </xf>
  </cellXfs>
  <cellStyles count="1">
    <cellStyle name="Normal" xfId="0" builtinId="0"/>
  </cellStyles>
  <dxfs count="79">
    <dxf>
      <alignment horizontal="general" vertical="center" textRotation="0" wrapText="1" indent="0" justifyLastLine="0" shrinkToFit="0" readingOrder="0"/>
      <border diagonalUp="0" diagonalDown="0">
        <left/>
        <right/>
        <top/>
        <bottom/>
        <vertical/>
        <horizontal/>
      </border>
    </dxf>
    <dxf>
      <border>
        <bottom style="medium">
          <color indexed="64"/>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9C0006"/>
      </font>
      <fill>
        <patternFill>
          <bgColor rgb="FFFFC7CE"/>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00B050"/>
        </patternFill>
      </fill>
    </dxf>
    <dxf>
      <fill>
        <patternFill>
          <bgColor rgb="FFFFFF00"/>
        </patternFill>
      </fill>
    </dxf>
    <dxf>
      <fill>
        <patternFill>
          <bgColor rgb="FFFFFFCC"/>
        </patternFill>
      </fill>
    </dxf>
    <dxf>
      <font>
        <color rgb="FF006100"/>
      </font>
      <fill>
        <patternFill>
          <bgColor rgb="FFC6EFCE"/>
        </patternFill>
      </fill>
    </dxf>
    <dxf>
      <numFmt numFmtId="0" formatCode="General"/>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left" textRotation="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7" tint="0.79998168889431442"/>
        </patternFill>
      </fill>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left"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3" formatCode="d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s>
  <tableStyles count="0" defaultTableStyle="TableStyleMedium2" defaultPivotStyle="PivotStyleLight16"/>
  <colors>
    <mruColors>
      <color rgb="FFFF7C80"/>
      <color rgb="FFFF33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[Strategy - Excel Assignment.xlsx]Team Structure Analysis !PivotTable1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Structure Analysis '!$B$3:$B$4</c:f>
              <c:strCache>
                <c:ptCount val="1"/>
                <c:pt idx="0">
                  <c:v>FTE</c:v>
                </c:pt>
              </c:strCache>
            </c:strRef>
          </c:tx>
          <c:spPr>
            <a:solidFill>
              <a:schemeClr val="accent1"/>
            </a:solidFill>
            <a:ln>
              <a:noFill/>
            </a:ln>
            <a:effectLst/>
          </c:spPr>
          <c:invertIfNegative val="0"/>
          <c:cat>
            <c:multiLvlStrRef>
              <c:f>'Team Structure Analysis '!$A$5:$A$24</c:f>
              <c:multiLvlStrCache>
                <c:ptCount val="16"/>
                <c:lvl>
                  <c:pt idx="0">
                    <c:v>Analyst</c:v>
                  </c:pt>
                  <c:pt idx="1">
                    <c:v>Consultant</c:v>
                  </c:pt>
                  <c:pt idx="2">
                    <c:v>Lead Consultant</c:v>
                  </c:pt>
                  <c:pt idx="3">
                    <c:v>Principal Consultant</c:v>
                  </c:pt>
                  <c:pt idx="4">
                    <c:v>Sr. Consultant</c:v>
                  </c:pt>
                  <c:pt idx="5">
                    <c:v>Analyst</c:v>
                  </c:pt>
                  <c:pt idx="6">
                    <c:v>Consultant</c:v>
                  </c:pt>
                  <c:pt idx="7">
                    <c:v>Lead Consultant</c:v>
                  </c:pt>
                  <c:pt idx="8">
                    <c:v>Senior Consultant</c:v>
                  </c:pt>
                  <c:pt idx="9">
                    <c:v>Sr Consultant</c:v>
                  </c:pt>
                  <c:pt idx="10">
                    <c:v>Sr. Consultant</c:v>
                  </c:pt>
                  <c:pt idx="11">
                    <c:v>Analyst</c:v>
                  </c:pt>
                  <c:pt idx="12">
                    <c:v>Consultant</c:v>
                  </c:pt>
                  <c:pt idx="13">
                    <c:v>Lead Consultant</c:v>
                  </c:pt>
                  <c:pt idx="14">
                    <c:v>Manager</c:v>
                  </c:pt>
                  <c:pt idx="15">
                    <c:v>Senior Consultant</c:v>
                  </c:pt>
                </c:lvl>
                <c:lvl>
                  <c:pt idx="0">
                    <c:v>AI</c:v>
                  </c:pt>
                  <c:pt idx="5">
                    <c:v>Data</c:v>
                  </c:pt>
                  <c:pt idx="11">
                    <c:v>Digital</c:v>
                  </c:pt>
                </c:lvl>
              </c:multiLvlStrCache>
            </c:multiLvlStrRef>
          </c:cat>
          <c:val>
            <c:numRef>
              <c:f>'Team Structure Analysis '!$B$5:$B$24</c:f>
              <c:numCache>
                <c:formatCode>General</c:formatCode>
                <c:ptCount val="16"/>
                <c:pt idx="0">
                  <c:v>1</c:v>
                </c:pt>
                <c:pt idx="1">
                  <c:v>5</c:v>
                </c:pt>
                <c:pt idx="2">
                  <c:v>1</c:v>
                </c:pt>
                <c:pt idx="3">
                  <c:v>2</c:v>
                </c:pt>
                <c:pt idx="4">
                  <c:v>2</c:v>
                </c:pt>
                <c:pt idx="5">
                  <c:v>3</c:v>
                </c:pt>
                <c:pt idx="6">
                  <c:v>3</c:v>
                </c:pt>
                <c:pt idx="7">
                  <c:v>4</c:v>
                </c:pt>
                <c:pt idx="8">
                  <c:v>1</c:v>
                </c:pt>
                <c:pt idx="9">
                  <c:v>1</c:v>
                </c:pt>
                <c:pt idx="10">
                  <c:v>3</c:v>
                </c:pt>
                <c:pt idx="12">
                  <c:v>7</c:v>
                </c:pt>
                <c:pt idx="13">
                  <c:v>2</c:v>
                </c:pt>
                <c:pt idx="14">
                  <c:v>1</c:v>
                </c:pt>
                <c:pt idx="15">
                  <c:v>2</c:v>
                </c:pt>
              </c:numCache>
            </c:numRef>
          </c:val>
          <c:extLst>
            <c:ext xmlns:c16="http://schemas.microsoft.com/office/drawing/2014/chart" uri="{C3380CC4-5D6E-409C-BE32-E72D297353CC}">
              <c16:uniqueId val="{00000000-53B7-41C8-9E59-8AD0595D49BF}"/>
            </c:ext>
          </c:extLst>
        </c:ser>
        <c:ser>
          <c:idx val="1"/>
          <c:order val="1"/>
          <c:tx>
            <c:strRef>
              <c:f>'Team Structure Analysis '!$C$3:$C$4</c:f>
              <c:strCache>
                <c:ptCount val="1"/>
                <c:pt idx="0">
                  <c:v>Intern</c:v>
                </c:pt>
              </c:strCache>
            </c:strRef>
          </c:tx>
          <c:spPr>
            <a:solidFill>
              <a:schemeClr val="accent2"/>
            </a:solidFill>
            <a:ln>
              <a:noFill/>
            </a:ln>
            <a:effectLst/>
          </c:spPr>
          <c:invertIfNegative val="0"/>
          <c:cat>
            <c:multiLvlStrRef>
              <c:f>'Team Structure Analysis '!$A$5:$A$24</c:f>
              <c:multiLvlStrCache>
                <c:ptCount val="16"/>
                <c:lvl>
                  <c:pt idx="0">
                    <c:v>Analyst</c:v>
                  </c:pt>
                  <c:pt idx="1">
                    <c:v>Consultant</c:v>
                  </c:pt>
                  <c:pt idx="2">
                    <c:v>Lead Consultant</c:v>
                  </c:pt>
                  <c:pt idx="3">
                    <c:v>Principal Consultant</c:v>
                  </c:pt>
                  <c:pt idx="4">
                    <c:v>Sr. Consultant</c:v>
                  </c:pt>
                  <c:pt idx="5">
                    <c:v>Analyst</c:v>
                  </c:pt>
                  <c:pt idx="6">
                    <c:v>Consultant</c:v>
                  </c:pt>
                  <c:pt idx="7">
                    <c:v>Lead Consultant</c:v>
                  </c:pt>
                  <c:pt idx="8">
                    <c:v>Senior Consultant</c:v>
                  </c:pt>
                  <c:pt idx="9">
                    <c:v>Sr Consultant</c:v>
                  </c:pt>
                  <c:pt idx="10">
                    <c:v>Sr. Consultant</c:v>
                  </c:pt>
                  <c:pt idx="11">
                    <c:v>Analyst</c:v>
                  </c:pt>
                  <c:pt idx="12">
                    <c:v>Consultant</c:v>
                  </c:pt>
                  <c:pt idx="13">
                    <c:v>Lead Consultant</c:v>
                  </c:pt>
                  <c:pt idx="14">
                    <c:v>Manager</c:v>
                  </c:pt>
                  <c:pt idx="15">
                    <c:v>Senior Consultant</c:v>
                  </c:pt>
                </c:lvl>
                <c:lvl>
                  <c:pt idx="0">
                    <c:v>AI</c:v>
                  </c:pt>
                  <c:pt idx="5">
                    <c:v>Data</c:v>
                  </c:pt>
                  <c:pt idx="11">
                    <c:v>Digital</c:v>
                  </c:pt>
                </c:lvl>
              </c:multiLvlStrCache>
            </c:multiLvlStrRef>
          </c:cat>
          <c:val>
            <c:numRef>
              <c:f>'Team Structure Analysis '!$C$5:$C$24</c:f>
              <c:numCache>
                <c:formatCode>General</c:formatCode>
                <c:ptCount val="16"/>
                <c:pt idx="0">
                  <c:v>5</c:v>
                </c:pt>
                <c:pt idx="1">
                  <c:v>1</c:v>
                </c:pt>
                <c:pt idx="5">
                  <c:v>6</c:v>
                </c:pt>
                <c:pt idx="11">
                  <c:v>3</c:v>
                </c:pt>
              </c:numCache>
            </c:numRef>
          </c:val>
          <c:extLst>
            <c:ext xmlns:c16="http://schemas.microsoft.com/office/drawing/2014/chart" uri="{C3380CC4-5D6E-409C-BE32-E72D297353CC}">
              <c16:uniqueId val="{00000001-53B7-41C8-9E59-8AD0595D49BF}"/>
            </c:ext>
          </c:extLst>
        </c:ser>
        <c:dLbls>
          <c:showLegendKey val="0"/>
          <c:showVal val="0"/>
          <c:showCatName val="0"/>
          <c:showSerName val="0"/>
          <c:showPercent val="0"/>
          <c:showBubbleSize val="0"/>
        </c:dLbls>
        <c:gapWidth val="182"/>
        <c:axId val="90158208"/>
        <c:axId val="90160608"/>
      </c:barChart>
      <c:catAx>
        <c:axId val="9015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0608"/>
        <c:crosses val="autoZero"/>
        <c:auto val="1"/>
        <c:lblAlgn val="ctr"/>
        <c:lblOffset val="100"/>
        <c:noMultiLvlLbl val="0"/>
      </c:catAx>
      <c:valAx>
        <c:axId val="9016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5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472440</xdr:colOff>
      <xdr:row>1</xdr:row>
      <xdr:rowOff>167640</xdr:rowOff>
    </xdr:from>
    <xdr:to>
      <xdr:col>9</xdr:col>
      <xdr:colOff>472440</xdr:colOff>
      <xdr:row>16</xdr:row>
      <xdr:rowOff>5715</xdr:rowOff>
    </xdr:to>
    <mc:AlternateContent xmlns:mc="http://schemas.openxmlformats.org/markup-compatibility/2006">
      <mc:Choice xmlns:a14="http://schemas.microsoft.com/office/drawing/2010/main" Requires="a14">
        <xdr:graphicFrame macro="">
          <xdr:nvGraphicFramePr>
            <xdr:cNvPr id="2" name="Designation">
              <a:extLst>
                <a:ext uri="{FF2B5EF4-FFF2-40B4-BE49-F238E27FC236}">
                  <a16:creationId xmlns:a16="http://schemas.microsoft.com/office/drawing/2014/main" id="{F4EFAF35-9CA6-C4FE-9B98-59837C539F08}"/>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dr:sp macro="" textlink="">
          <xdr:nvSpPr>
            <xdr:cNvPr id="0" name=""/>
            <xdr:cNvSpPr>
              <a:spLocks noTextEdit="1"/>
            </xdr:cNvSpPr>
          </xdr:nvSpPr>
          <xdr:spPr>
            <a:xfrm>
              <a:off x="5509260" y="350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1</xdr:row>
      <xdr:rowOff>175260</xdr:rowOff>
    </xdr:from>
    <xdr:to>
      <xdr:col>13</xdr:col>
      <xdr:colOff>198120</xdr:colOff>
      <xdr:row>16</xdr:row>
      <xdr:rowOff>13335</xdr:rowOff>
    </xdr:to>
    <mc:AlternateContent xmlns:mc="http://schemas.openxmlformats.org/markup-compatibility/2006">
      <mc:Choice xmlns:a14="http://schemas.microsoft.com/office/drawing/2010/main" Requires="a14">
        <xdr:graphicFrame macro="">
          <xdr:nvGraphicFramePr>
            <xdr:cNvPr id="3" name="Team">
              <a:extLst>
                <a:ext uri="{FF2B5EF4-FFF2-40B4-BE49-F238E27FC236}">
                  <a16:creationId xmlns:a16="http://schemas.microsoft.com/office/drawing/2014/main" id="{2D3DAF5B-BC93-FC8C-0E40-3F7403B3CD87}"/>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7673340" y="3581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1</xdr:row>
      <xdr:rowOff>160020</xdr:rowOff>
    </xdr:from>
    <xdr:to>
      <xdr:col>16</xdr:col>
      <xdr:colOff>434340</xdr:colOff>
      <xdr:row>15</xdr:row>
      <xdr:rowOff>180975</xdr:rowOff>
    </xdr:to>
    <mc:AlternateContent xmlns:mc="http://schemas.openxmlformats.org/markup-compatibility/2006">
      <mc:Choice xmlns:a14="http://schemas.microsoft.com/office/drawing/2010/main" Requires="a14">
        <xdr:graphicFrame macro="">
          <xdr:nvGraphicFramePr>
            <xdr:cNvPr id="4" name="Type">
              <a:extLst>
                <a:ext uri="{FF2B5EF4-FFF2-40B4-BE49-F238E27FC236}">
                  <a16:creationId xmlns:a16="http://schemas.microsoft.com/office/drawing/2014/main" id="{5CF98F7A-6334-0E42-05C5-F6C657C19CA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973836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594360</xdr:colOff>
      <xdr:row>16</xdr:row>
      <xdr:rowOff>156210</xdr:rowOff>
    </xdr:from>
    <xdr:to>
      <xdr:col>18</xdr:col>
      <xdr:colOff>106680</xdr:colOff>
      <xdr:row>44</xdr:row>
      <xdr:rowOff>99060</xdr:rowOff>
    </xdr:to>
    <xdr:graphicFrame macro="">
      <xdr:nvGraphicFramePr>
        <xdr:cNvPr id="6" name="Chart 5">
          <a:extLst>
            <a:ext uri="{FF2B5EF4-FFF2-40B4-BE49-F238E27FC236}">
              <a16:creationId xmlns:a16="http://schemas.microsoft.com/office/drawing/2014/main" id="{09C0D91B-02A4-784D-FD3D-A934C4C82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2</xdr:row>
      <xdr:rowOff>22860</xdr:rowOff>
    </xdr:from>
    <xdr:to>
      <xdr:col>6</xdr:col>
      <xdr:colOff>228600</xdr:colOff>
      <xdr:row>16</xdr:row>
      <xdr:rowOff>43815</xdr:rowOff>
    </xdr:to>
    <mc:AlternateContent xmlns:mc="http://schemas.openxmlformats.org/markup-compatibility/2006">
      <mc:Choice xmlns:a14="http://schemas.microsoft.com/office/drawing/2010/main" Requires="a14">
        <xdr:graphicFrame macro="">
          <xdr:nvGraphicFramePr>
            <xdr:cNvPr id="2" name="Team 1">
              <a:extLst>
                <a:ext uri="{FF2B5EF4-FFF2-40B4-BE49-F238E27FC236}">
                  <a16:creationId xmlns:a16="http://schemas.microsoft.com/office/drawing/2014/main" id="{C2378259-57CE-0439-1F7E-CDB6C9FB2430}"/>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3200400" y="388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2</xdr:row>
      <xdr:rowOff>45720</xdr:rowOff>
    </xdr:from>
    <xdr:to>
      <xdr:col>10</xdr:col>
      <xdr:colOff>121920</xdr:colOff>
      <xdr:row>16</xdr:row>
      <xdr:rowOff>66675</xdr:rowOff>
    </xdr:to>
    <mc:AlternateContent xmlns:mc="http://schemas.openxmlformats.org/markup-compatibility/2006">
      <mc:Choice xmlns:a14="http://schemas.microsoft.com/office/drawing/2010/main" Requires="a14">
        <xdr:graphicFrame macro="">
          <xdr:nvGraphicFramePr>
            <xdr:cNvPr id="3" name="Year of Joining Date">
              <a:extLst>
                <a:ext uri="{FF2B5EF4-FFF2-40B4-BE49-F238E27FC236}">
                  <a16:creationId xmlns:a16="http://schemas.microsoft.com/office/drawing/2014/main" id="{9870BA65-E9C4-9305-736C-535EA7AE90F7}"/>
                </a:ext>
              </a:extLst>
            </xdr:cNvPr>
            <xdr:cNvGraphicFramePr/>
          </xdr:nvGraphicFramePr>
          <xdr:xfrm>
            <a:off x="0" y="0"/>
            <a:ext cx="0" cy="0"/>
          </xdr:xfrm>
          <a:graphic>
            <a:graphicData uri="http://schemas.microsoft.com/office/drawing/2010/slicer">
              <sle:slicer xmlns:sle="http://schemas.microsoft.com/office/drawing/2010/slicer" name="Year of Joining Date"/>
            </a:graphicData>
          </a:graphic>
        </xdr:graphicFrame>
      </mc:Choice>
      <mc:Fallback>
        <xdr:sp macro="" textlink="">
          <xdr:nvSpPr>
            <xdr:cNvPr id="0" name=""/>
            <xdr:cNvSpPr>
              <a:spLocks noTextEdit="1"/>
            </xdr:cNvSpPr>
          </xdr:nvSpPr>
          <xdr:spPr>
            <a:xfrm>
              <a:off x="5532120" y="411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2</xdr:row>
      <xdr:rowOff>99060</xdr:rowOff>
    </xdr:from>
    <xdr:to>
      <xdr:col>13</xdr:col>
      <xdr:colOff>548640</xdr:colOff>
      <xdr:row>16</xdr:row>
      <xdr:rowOff>120015</xdr:rowOff>
    </xdr:to>
    <mc:AlternateContent xmlns:mc="http://schemas.openxmlformats.org/markup-compatibility/2006">
      <mc:Choice xmlns:a14="http://schemas.microsoft.com/office/drawing/2010/main" Requires="a14">
        <xdr:graphicFrame macro="">
          <xdr:nvGraphicFramePr>
            <xdr:cNvPr id="4" name="Quarter of Joining Date">
              <a:extLst>
                <a:ext uri="{FF2B5EF4-FFF2-40B4-BE49-F238E27FC236}">
                  <a16:creationId xmlns:a16="http://schemas.microsoft.com/office/drawing/2014/main" id="{A746F712-CF79-7CA4-AD6F-DF8C6CFF3D39}"/>
                </a:ext>
              </a:extLst>
            </xdr:cNvPr>
            <xdr:cNvGraphicFramePr/>
          </xdr:nvGraphicFramePr>
          <xdr:xfrm>
            <a:off x="0" y="0"/>
            <a:ext cx="0" cy="0"/>
          </xdr:xfrm>
          <a:graphic>
            <a:graphicData uri="http://schemas.microsoft.com/office/drawing/2010/slicer">
              <sle:slicer xmlns:sle="http://schemas.microsoft.com/office/drawing/2010/slicer" name="Quarter of Joining Date"/>
            </a:graphicData>
          </a:graphic>
        </xdr:graphicFrame>
      </mc:Choice>
      <mc:Fallback>
        <xdr:sp macro="" textlink="">
          <xdr:nvSpPr>
            <xdr:cNvPr id="0" name=""/>
            <xdr:cNvSpPr>
              <a:spLocks noTextEdit="1"/>
            </xdr:cNvSpPr>
          </xdr:nvSpPr>
          <xdr:spPr>
            <a:xfrm>
              <a:off x="7787640" y="464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yan Saha" refreshedDate="46125.205734953706" createdVersion="8" refreshedVersion="8" minRefreshableVersion="3" recordCount="129" xr:uid="{4E9A49D8-4030-4B50-B166-1DCB1A55CCFD}">
  <cacheSource type="worksheet">
    <worksheetSource name="Table2"/>
  </cacheSource>
  <cacheFields count="10">
    <cacheField name="Corrected Employee ID" numFmtId="0">
      <sharedItems/>
    </cacheField>
    <cacheField name="Employee Name" numFmtId="0">
      <sharedItems/>
    </cacheField>
    <cacheField name="Employee First Working Day" numFmtId="0">
      <sharedItems containsDate="1" containsBlank="1" containsMixedTypes="1" minDate="2015-02-14T00:00:00" maxDate="2022-06-22T00:00:00"/>
    </cacheField>
    <cacheField name="Corrected Employee First Working Day" numFmtId="14">
      <sharedItems containsDate="1" containsMixedTypes="1" minDate="2015-02-14T00:00:00" maxDate="2026-01-01T00:00:00"/>
    </cacheField>
    <cacheField name="Designation" numFmtId="0">
      <sharedItems count="9">
        <s v="Sr. Consultant"/>
        <s v="Manager"/>
        <s v="Lead Consultant"/>
        <s v="Consultant"/>
        <s v="Senior Consultant"/>
        <s v="Principal Consultant"/>
        <s v="Analyst"/>
        <s v="Sr Consultant"/>
        <s v="Sr. Analyst"/>
      </sharedItems>
    </cacheField>
    <cacheField name="Team" numFmtId="0">
      <sharedItems count="8">
        <s v="Data"/>
        <s v="Digital"/>
        <s v="AI"/>
        <s v="QA"/>
        <s v="Design"/>
        <s v="PMO"/>
        <s v="Cloud"/>
        <s v="Support"/>
      </sharedItems>
    </cacheField>
    <cacheField name="Type" numFmtId="0">
      <sharedItems count="3">
        <s v="FTE"/>
        <s v="Intern"/>
        <s v="Freelancer"/>
      </sharedItems>
    </cacheField>
    <cacheField name=" Assigned Project 1 Code" numFmtId="0">
      <sharedItems/>
    </cacheField>
    <cacheField name=" Assigned Project 2 Code" numFmtId="0">
      <sharedItems containsBlank="1"/>
    </cacheField>
    <cacheField name=" Assigned Project 3 Code" numFmtId="0">
      <sharedItems containsBlank="1"/>
    </cacheField>
  </cacheFields>
  <extLst>
    <ext xmlns:x14="http://schemas.microsoft.com/office/spreadsheetml/2009/9/main" uri="{725AE2AE-9491-48be-B2B4-4EB974FC3084}">
      <x14:pivotCacheDefinition pivotCacheId="10153163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yan Saha" refreshedDate="46125.253824189815" createdVersion="8" refreshedVersion="8" minRefreshableVersion="3" recordCount="90" xr:uid="{844CA199-1983-44EB-ABD4-D6FC7822592E}">
  <cacheSource type="worksheet">
    <worksheetSource name="Table3"/>
  </cacheSource>
  <cacheFields count="10">
    <cacheField name="Project ID" numFmtId="0">
      <sharedItems count="90">
        <s v="PRJ-001"/>
        <s v="PRJ-002"/>
        <s v="PRJ-003"/>
        <s v="PRJ-004"/>
        <s v="PRJ-005"/>
        <s v="PRJ-006"/>
        <s v="PRJ-007"/>
        <s v="PRJ-008"/>
        <s v="PRJ-009"/>
        <s v="PRJ-010"/>
        <s v="PRJ-011"/>
        <s v="PRJ-012"/>
        <s v="PRJ-013"/>
        <s v="PRJ-014"/>
        <s v="PRJ-015"/>
        <s v="PRJ-016"/>
        <s v="PRJ-017"/>
        <s v="PRJ-018"/>
        <s v="PRJ-019"/>
        <s v="PRJ-020"/>
        <s v="PRJ-021"/>
        <s v="PRJ-022"/>
        <s v="PRJ-023"/>
        <s v="PRJ-024"/>
        <s v="PRJ-025"/>
        <s v="PRJ-026"/>
        <s v="PRJ-027"/>
        <s v="PRJ-028"/>
        <s v="PRJ-029"/>
        <s v="PRJ-030"/>
        <s v="PRJ-031"/>
        <s v="PRJ-032"/>
        <s v="PRJ-033"/>
        <s v="PRJ-034"/>
        <s v="PRJ-035"/>
        <s v="PRJ-036"/>
        <s v="PRJ-037"/>
        <s v="PRJ-038"/>
        <s v="PRJ-039"/>
        <s v="PRJ-040"/>
        <s v="PRJ-041"/>
        <s v="PRJ-042"/>
        <s v="PRJ-043"/>
        <s v="PRJ-044"/>
        <s v="PRJ-045"/>
        <s v="PRJ-046"/>
        <s v="PRJ-047"/>
        <s v="PRJ-048"/>
        <s v="PRJ-049"/>
        <s v="PRJ-050"/>
        <s v="PRJ-051"/>
        <s v="PRJ-052"/>
        <s v="PRJ-053"/>
        <s v="PRJ-054"/>
        <s v="PRJ-055"/>
        <s v="PRJ-056"/>
        <s v="PRJ-057"/>
        <s v="PRJ-058"/>
        <s v="PRJ-059"/>
        <s v="PRJ-060"/>
        <s v="PRJ-061"/>
        <s v="PRJ-062"/>
        <s v="PRJ-063"/>
        <s v="PRJ-064"/>
        <s v="PRJ-065"/>
        <s v="PRJ-066"/>
        <s v="PRJ-067"/>
        <s v="PRJ-068"/>
        <s v="PRJ-069"/>
        <s v="PRJ-070"/>
        <s v="PRJ-071"/>
        <s v="PRJ-072"/>
        <s v="PRJ-073"/>
        <s v="PRJ-074"/>
        <s v="PRJ-075"/>
        <s v="PRJ-076"/>
        <s v="PRJ-077"/>
        <s v="PRJ-078"/>
        <s v="PRJ-079"/>
        <s v="PRJ-080"/>
        <s v="PRJ-081"/>
        <s v="PRJ-082"/>
        <s v="PRJ-083"/>
        <s v="PRJ-084"/>
        <s v="PRJ-085"/>
        <s v="PRJ-086"/>
        <s v="PRJ-087"/>
        <s v="PRJ-088"/>
        <s v="PRJ-089"/>
        <s v="PRJ-090"/>
      </sharedItems>
    </cacheField>
    <cacheField name="Project Name" numFmtId="0">
      <sharedItems/>
    </cacheField>
    <cacheField name="Start Date" numFmtId="0">
      <sharedItems containsDate="1" containsMixedTypes="1" minDate="2023-08-22T00:00:00" maxDate="2026-03-03T00:00:00"/>
    </cacheField>
    <cacheField name="Corrected Start Date" numFmtId="164">
      <sharedItems containsDate="1" containsMixedTypes="1" minDate="2023-08-22T00:00:00" maxDate="2026-03-03T00:00:00"/>
    </cacheField>
    <cacheField name="End Date" numFmtId="0">
      <sharedItems containsDate="1" containsMixedTypes="1" minDate="2025-06-30T00:00:00" maxDate="2027-01-01T00:00:00"/>
    </cacheField>
    <cacheField name="Corrected End Date" numFmtId="164">
      <sharedItems containsDate="1" containsMixedTypes="1" minDate="2025-06-30T00:00:00" maxDate="2027-01-01T00:00:00"/>
    </cacheField>
    <cacheField name="Revised End Date" numFmtId="0">
      <sharedItems containsNonDate="0" containsDate="1" containsString="0" containsBlank="1" minDate="2026-01-15T00:00:00" maxDate="2026-10-28T00:00:00"/>
    </cacheField>
    <cacheField name="Final End Date" numFmtId="164">
      <sharedItems containsDate="1" containsMixedTypes="1" minDate="2025-06-30T00:00:00" maxDate="2027-01-01T00:00:00"/>
    </cacheField>
    <cacheField name="Duration (&gt;3 months running projects in green)" numFmtId="2">
      <sharedItems containsMixedTypes="1" containsNumber="1" containsInteger="1" minValue="25" maxValue="898"/>
    </cacheField>
    <cacheField name="Project Type Duration Wise" numFmtId="0">
      <sharedItems count="3">
        <s v="Long Project"/>
        <s v="Normal"/>
        <s v="In Progres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yan Saha" refreshedDate="46125.262873611115" createdVersion="8" refreshedVersion="8" minRefreshableVersion="3" recordCount="129" xr:uid="{6512EB17-F352-47E6-9472-7B2B09B7D950}">
  <cacheSource type="worksheet">
    <worksheetSource ref="A1:N130" sheet="Resource"/>
  </cacheSource>
  <cacheFields count="14">
    <cacheField name="Employee ID" numFmtId="0">
      <sharedItems/>
    </cacheField>
    <cacheField name="Corrected Employee ID" numFmtId="0">
      <sharedItems/>
    </cacheField>
    <cacheField name="Employee Name" numFmtId="0">
      <sharedItems/>
    </cacheField>
    <cacheField name="Employee First Working Day" numFmtId="0">
      <sharedItems containsDate="1" containsBlank="1" containsMixedTypes="1" minDate="2015-02-14T00:00:00" maxDate="2022-06-22T00:00:00"/>
    </cacheField>
    <cacheField name="Corrected Employee First Working Day" numFmtId="14">
      <sharedItems containsDate="1" containsMixedTypes="1" minDate="2015-02-14T00:00:00" maxDate="2026-01-01T00:00:00"/>
    </cacheField>
    <cacheField name="Designation" numFmtId="0">
      <sharedItems/>
    </cacheField>
    <cacheField name="Team" numFmtId="0">
      <sharedItems count="8">
        <s v="Data"/>
        <s v="Digital"/>
        <s v="AI"/>
        <s v="QA"/>
        <s v="Design"/>
        <s v="PMO"/>
        <s v="Cloud"/>
        <s v="Support"/>
      </sharedItems>
    </cacheField>
    <cacheField name="Type" numFmtId="0">
      <sharedItems/>
    </cacheField>
    <cacheField name=" Assigned Project 1 Code" numFmtId="0">
      <sharedItems/>
    </cacheField>
    <cacheField name=" Assigned Project 2 Code" numFmtId="0">
      <sharedItems containsBlank="1"/>
    </cacheField>
    <cacheField name=" Assigned Project 3 Code" numFmtId="0">
      <sharedItems containsBlank="1"/>
    </cacheField>
    <cacheField name="Year of Joining Date" numFmtId="0">
      <sharedItems containsMixedTypes="1" containsNumber="1" containsInteger="1" minValue="2015" maxValue="2025" count="12">
        <n v="2022"/>
        <n v="2021"/>
        <n v="2020"/>
        <n v="2019"/>
        <n v="2023"/>
        <n v="2018"/>
        <n v="2017"/>
        <n v="2025"/>
        <n v="2024"/>
        <n v="2016"/>
        <n v="2015"/>
        <s v="Missing"/>
      </sharedItems>
    </cacheField>
    <cacheField name="Quarter of Joining Date" numFmtId="0">
      <sharedItems count="5">
        <s v="Q1"/>
        <s v="Q3"/>
        <s v="Q2"/>
        <s v="Q4"/>
        <s v="Missing"/>
      </sharedItems>
    </cacheField>
    <cacheField name="Quarter &amp; Year of Joining Date" numFmtId="0">
      <sharedItems/>
    </cacheField>
  </cacheFields>
  <extLst>
    <ext xmlns:x14="http://schemas.microsoft.com/office/spreadsheetml/2009/9/main" uri="{725AE2AE-9491-48be-B2B4-4EB974FC3084}">
      <x14:pivotCacheDefinition pivotCacheId="183896852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yan Saha" refreshedDate="46125.428114814815" createdVersion="8" refreshedVersion="8" minRefreshableVersion="3" recordCount="229" xr:uid="{E24C470B-C39D-476B-BBF9-E80081D26A3F}">
  <cacheSource type="worksheet">
    <worksheetSource name="Table2_1"/>
  </cacheSource>
  <cacheFields count="11">
    <cacheField name="Corrected Employee ID" numFmtId="0">
      <sharedItems count="126">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115"/>
        <s v="emp082"/>
        <s v="emp083"/>
        <s v="emp084"/>
        <s v="emp085"/>
        <s v="emp086"/>
        <s v="emp087"/>
        <s v="emp088"/>
        <s v="emp089"/>
        <s v="emp090"/>
        <s v="emp091"/>
        <s v="emp092"/>
        <s v="emp093"/>
        <s v="emp094"/>
        <s v="emp095"/>
        <s v="emp096"/>
        <s v="emp097"/>
        <s v="emp098"/>
        <s v="emp099"/>
        <s v="emp100"/>
        <s v="emp101"/>
        <s v="emp102"/>
        <s v="emp103"/>
        <s v="emp104"/>
        <s v="emp105"/>
        <s v="emp106"/>
        <s v="emp107"/>
        <s v="emp108"/>
        <s v="emp110"/>
        <s v="emp111"/>
        <s v="emp123"/>
        <s v="emp114"/>
        <s v="emp152"/>
        <s v="emp130"/>
        <s v="emp135"/>
        <s v="emp109"/>
        <s v="emp112"/>
        <s v="emp113"/>
        <s v="emp116"/>
        <s v="emp117"/>
        <s v="emp118"/>
        <s v="emp119"/>
        <s v="emp120"/>
        <s v="emp121"/>
        <s v="emp122"/>
      </sharedItems>
    </cacheField>
    <cacheField name="Employee Name" numFmtId="0">
      <sharedItems count="126">
        <s v="Rohit Sharma"/>
        <s v="Anjali Verma"/>
        <s v="Suresh Iyer"/>
        <s v="Megha Jain"/>
        <s v="Neha Malhotra"/>
        <s v="Rahul Mehta"/>
        <s v="Priya Nair"/>
        <s v="Vikram Singh"/>
        <s v="Karan Ahuja          "/>
        <s v="Pooja Kulkarni"/>
        <s v="Aman Gupta"/>
        <s v="Sneha Rao"/>
        <s v="Rakesh Kumar"/>
        <s v="Kavita Joshi"/>
        <s v="Nitin Arora"/>
        <s v="Pankaj Mishra"/>
        <s v="Swati Kulkarni"/>
        <s v="Arjun Mehta"/>
        <s v="Isha Kapoor"/>
        <s v="Mohit Bansal"/>
        <s v="Nisha Jain"/>
        <s v="Varun Malhotra"/>
        <s v="Ritu Saxena"/>
        <s v="Akash Verma"/>
        <s v="Pooja Shah"/>
        <s v="Kunal Desai"/>
        <s v="Aditi Chawla"/>
        <s v="Sarthak Jain"/>
        <s v="Manish Gupta"/>
        <s v="Riya Khanna"/>
        <s v="Deepak Yadav"/>
        <s v="Shalini Mehra"/>
        <s v="Vikas Pandey"/>
        <s v="Tanya Arora"/>
        <s v="Abhishek Sen"/>
        <s v="Meenal Kulkarni"/>
        <s v="Rohan Iyer"/>
        <s v="Simran Kaur"/>
        <s v="Gaurav Bhatia"/>
        <s v="Nivedita Roy"/>
        <s v="Shubham Agarwal"/>
        <s v="Pallavi Deshpande"/>
        <s v="Harish Nair"/>
        <s v="Komal Srivastava"/>
        <s v="Siddharth Bose"/>
        <s v="Neetu Sharma"/>
        <s v="Pranav Kulkarni"/>
        <s v="Ayesha Khan"/>
        <s v="Sanjay Pillai"/>
        <s v="Ruchi Malhotra"/>
        <s v="Aarav Mehta"/>
        <s v="Nupur Shah"/>
        <s v="Siddhant Rao"/>
        <s v="Kavya Nair"/>
        <s v="Harshit Gupta"/>
        <s v="Rohan Kulkarni"/>
        <s v="Pritam Das"/>
        <s v="Shreya Malhotra"/>
        <s v="Kunal Verma"/>
        <s v="Ritu Agarwal"/>
        <s v="Mohan Iyer"/>
        <s v="Tanya Bose"/>
        <s v="Aditya Kapoor"/>
        <s v="Neelam Singh"/>
        <s v="Varsha Kulkarni"/>
        <s v="Aman Choudhary"/>
        <s v="Poonam Tiwari"/>
        <s v="Yash Bansal"/>
        <s v="Nikhil Arora"/>
        <s v="Rashi Malhotra"/>
        <s v="Abhinav Jain"/>
        <s v="Komal Vyas"/>
        <s v="Parth Shah"/>
        <s v="Meera Joshi"/>
        <s v="Raghav Mishra"/>
        <s v="Snehal Patil"/>
        <s v="Vimal Khanna"/>
        <s v="Aishwarya Kulkarni"/>
        <s v="Devansh Gupta"/>
        <s v="Pallavi Mehta"/>
        <s v="Aniket Rao"/>
        <s v="Shreya Rai"/>
        <s v="Rina Dsouza"/>
        <s v="Karthik Nair"/>
        <s v="Shubhi Arora"/>
        <s v="Manav Kapoor"/>
        <s v="Rupal Shah"/>
        <s v="Vinayak Patil"/>
        <s v="Ishita Malhotra"/>
        <s v="Saurabh Jain"/>
        <s v="Tanvi Kulkarni"/>
        <s v="Keshav Arora"/>
        <s v="Monica Bansal"/>
        <s v="Rajat Khurana"/>
        <s v="Naina Sethi"/>
        <s v="Ashwin Iyer"/>
        <s v="Preeti Goyal"/>
        <s v="Lakshya Jain"/>
        <s v="Bhavya Malhotra"/>
        <s v="Tarun Saxena"/>
        <s v="Juhi Kapoor"/>
        <s v="Taarak Goyal"/>
        <s v="Himank Arora"/>
        <s v="Siddhesh Kunda"/>
        <s v="Karan Patel"/>
        <s v="Keona Kerry"/>
        <s v="Krishna Arora"/>
        <s v="Neelam Jha"/>
        <s v="Sanjeev Kapur"/>
        <s v="Tanu Sehgal"/>
        <s v="Sakshi Ahuja"/>
        <s v="Srishti Jain"/>
        <s v="Naresh Pal"/>
        <s v="Deepak Galgotiya"/>
        <s v="Priya Ratwani"/>
        <s v="Anchal Rastogi"/>
        <s v="Nishi Mishra"/>
        <s v="Atharva Arnav"/>
        <s v="Shrey Vishwakarma"/>
        <s v="Anjali Kapoor"/>
        <s v="Himanshi Mathur"/>
        <s v="Ayush Negi"/>
        <s v="Aradhya Jha"/>
        <s v="Jagdish Pal"/>
        <s v="Jekanth Kedia"/>
        <s v="Ruby Gupta"/>
      </sharedItems>
    </cacheField>
    <cacheField name="Employee First Working Day" numFmtId="0">
      <sharedItems containsBlank="1" containsMixedTypes="1" containsNumber="1" containsInteger="1" minValue="42049" maxValue="46003"/>
    </cacheField>
    <cacheField name="Corrected Employee First Working Day" numFmtId="22">
      <sharedItems containsNonDate="0" containsDate="1" containsString="0" containsBlank="1" minDate="2015-02-14T00:00:00" maxDate="2026-01-01T00:00:00"/>
    </cacheField>
    <cacheField name="Designation" numFmtId="0">
      <sharedItems count="9">
        <s v="Sr. Consultant"/>
        <s v="Manager"/>
        <s v="Lead Consultant"/>
        <s v="Consultant"/>
        <s v="Senior Consultant"/>
        <s v="Principal Consultant"/>
        <s v="Analyst"/>
        <s v="Sr Consultant"/>
        <s v="Sr. Analyst"/>
      </sharedItems>
    </cacheField>
    <cacheField name="Team" numFmtId="0">
      <sharedItems/>
    </cacheField>
    <cacheField name="Type" numFmtId="0">
      <sharedItems/>
    </cacheField>
    <cacheField name="Year of Joining Date" numFmtId="0">
      <sharedItems containsMixedTypes="1" containsNumber="1" containsInteger="1" minValue="2015" maxValue="2025"/>
    </cacheField>
    <cacheField name="Quarter of Joining Date" numFmtId="0">
      <sharedItems/>
    </cacheField>
    <cacheField name="Quarter &amp; Year of Joining Date" numFmtId="0">
      <sharedItems/>
    </cacheField>
    <cacheField name="Project Code" numFmtId="0">
      <sharedItems count="95">
        <s v="PRJ-020"/>
        <s v="PRJ-065"/>
        <s v="PRJ-029"/>
        <s v="PRJ-070"/>
        <s v="PRJ-007"/>
        <s v="PRJ-056"/>
        <s v="PRJ-040"/>
        <s v="PRJ-053"/>
        <s v="PRJ-012"/>
        <s v="PRJ-067_x000a_"/>
        <s v="PRJ-085"/>
        <s v="PRJ-011"/>
        <s v="PRJ-023"/>
        <s v="PRJ-013"/>
        <s v="PRJ-051"/>
        <s v="PRJ-004"/>
        <s v="PRJ-030"/>
        <s v="PRJ-045"/>
        <s v="PRJ-060"/>
        <s v="PRJ-033"/>
        <s v="PRJ-016"/>
        <s v="PRJ-005"/>
        <s v="PRJ-080"/>
        <s v="PRJ-076"/>
        <s v="PRJ-078"/>
        <s v="PRJ-070_x000a_"/>
        <s v="PRJ-001"/>
        <s v="PRJ-028"/>
        <s v="PRJ-025"/>
        <s v="PRJ-063"/>
        <s v="PRJ-084"/>
        <s v="PRJ-036"/>
        <s v="PRJ-081"/>
        <s v="PRJ-010"/>
        <s v="PRJ-074"/>
        <s v="PRJ-061"/>
        <s v="PRJ-002"/>
        <s v="PRJ-055"/>
        <s v="PRJ-086"/>
        <s v="PRJ-015"/>
        <s v="PRJ-021"/>
        <s v="PRJ-050"/>
        <s v="PRJ-058"/>
        <s v="PRJ-041"/>
        <s v="PRJ-034"/>
        <s v="PRJ-089"/>
        <s v="PRJ-071"/>
        <s v="PRJ-079"/>
        <s v="PRJ-088"/>
        <s v="PRJ-067"/>
        <s v="PRJ-072"/>
        <s v="PRJ-031"/>
        <s v="PRJ-006"/>
        <s v="PRJ-068"/>
        <s v="PRJ-026"/>
        <s v="PRJ-069"/>
        <s v="PRJ-069 "/>
        <s v="PRJ-077"/>
        <s v="PRJ-059"/>
        <s v="PRJ-009"/>
        <s v="PRJ-052"/>
        <s v="PRJ-017"/>
        <s v="PRJ-064"/>
        <s v="PRJ-087"/>
        <s v="PRJ-018"/>
        <s v="PRJ-022"/>
        <s v="PRJ-024"/>
        <s v="PRJ-019"/>
        <s v="PRJ-082"/>
        <s v="PRJ-066"/>
        <s v="PRJ-037"/>
        <s v="PRJ-038"/>
        <s v="PRJ-075"/>
        <s v="PRJ-027"/>
        <s v="PRJ-008"/>
        <s v="PRJ-042"/>
        <s v="PRJ-073"/>
        <s v="PRJ-014"/>
        <s v="PRJ-057"/>
        <s v="PRJ-054"/>
        <s v="PRJ-048"/>
        <s v="PRJ-032"/>
        <s v="PRJ-003"/>
        <s v="PRJ-043"/>
        <s v="PRJ-083"/>
        <s v="PRJ-090"/>
        <s v="PRJ-049"/>
        <s v="PRJ-035"/>
        <s v="PRJ-082 "/>
        <s v="PRJ-046"/>
        <s v="PRJ-044"/>
        <s v="PRJ-047"/>
        <s v="PRJ-039"/>
        <s v="PRJ-071_x000a_"/>
        <s v="PRJ-06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s v="emp001"/>
    <s v="Rohit Sharma"/>
    <d v="2022-01-01T00:00:00"/>
    <d v="2022-01-01T00:00:00"/>
    <x v="0"/>
    <x v="0"/>
    <x v="0"/>
    <s v="PRJ-020"/>
    <s v="PRJ-065"/>
    <m/>
  </r>
  <r>
    <s v="emp002"/>
    <s v="Anjali Verma"/>
    <d v="2021-02-15T00:00:00"/>
    <d v="2021-02-15T00:00:00"/>
    <x v="1"/>
    <x v="1"/>
    <x v="0"/>
    <s v="PRJ-029"/>
    <s v="PRJ-070"/>
    <m/>
  </r>
  <r>
    <s v="emp003"/>
    <s v="Suresh Iyer"/>
    <d v="2020-07-10T00:00:00"/>
    <d v="2020-07-10T00:00:00"/>
    <x v="2"/>
    <x v="2"/>
    <x v="0"/>
    <s v="PRJ-007"/>
    <s v="PRJ-056"/>
    <m/>
  </r>
  <r>
    <s v="emp004"/>
    <s v="Megha Jain"/>
    <s v="03-15-2019"/>
    <d v="2019-03-15T00:00:00"/>
    <x v="3"/>
    <x v="1"/>
    <x v="0"/>
    <s v="PRJ-040"/>
    <s v="PRJ-053"/>
    <m/>
  </r>
  <r>
    <s v="emp005"/>
    <s v="Neha Malhotra"/>
    <d v="2023-04-01T00:00:00"/>
    <d v="2023-04-01T00:00:00"/>
    <x v="4"/>
    <x v="0"/>
    <x v="0"/>
    <s v="PRJ-012"/>
    <s v="PRJ-067_x000a_"/>
    <s v="PRJ-085"/>
  </r>
  <r>
    <s v="emp006"/>
    <s v="Rahul Mehta"/>
    <d v="2018-11-01T00:00:00"/>
    <d v="2018-11-01T00:00:00"/>
    <x v="5"/>
    <x v="2"/>
    <x v="0"/>
    <s v="PRJ-011"/>
    <s v="PRJ-065"/>
    <m/>
  </r>
  <r>
    <s v="emp007"/>
    <s v="Priya Nair"/>
    <d v="2017-06-12T00:00:00"/>
    <d v="2017-06-12T00:00:00"/>
    <x v="3"/>
    <x v="1"/>
    <x v="0"/>
    <s v="PRJ-023"/>
    <m/>
    <m/>
  </r>
  <r>
    <s v="emp008"/>
    <s v="Vikram Singh"/>
    <s v="07.08.2020"/>
    <d v="2020-07-08T00:00:00"/>
    <x v="3"/>
    <x v="0"/>
    <x v="0"/>
    <s v="PRJ-013"/>
    <s v="PRJ-051"/>
    <m/>
  </r>
  <r>
    <s v="emp009"/>
    <s v="Karan Ahuja          "/>
    <d v="2022-01-10T00:00:00"/>
    <d v="2022-01-10T00:00:00"/>
    <x v="6"/>
    <x v="0"/>
    <x v="1"/>
    <s v="PRJ-004"/>
    <m/>
    <m/>
  </r>
  <r>
    <s v="emp010"/>
    <s v="Pooja Kulkarni"/>
    <d v="2025-01-16T00:00:00"/>
    <d v="2025-01-16T00:00:00"/>
    <x v="3"/>
    <x v="2"/>
    <x v="1"/>
    <s v="PRJ-030"/>
    <m/>
    <m/>
  </r>
  <r>
    <s v="emp011"/>
    <s v="Aman Gupta"/>
    <d v="2019-09-05T00:00:00"/>
    <d v="2019-09-05T00:00:00"/>
    <x v="3"/>
    <x v="1"/>
    <x v="0"/>
    <s v="PRJ-045"/>
    <s v="PRJ-060"/>
    <m/>
  </r>
  <r>
    <s v="emp012"/>
    <s v="Sneha Rao"/>
    <d v="2021-03-05T00:00:00"/>
    <d v="2021-03-05T00:00:00"/>
    <x v="6"/>
    <x v="0"/>
    <x v="1"/>
    <s v="PRJ-033"/>
    <m/>
    <m/>
  </r>
  <r>
    <s v="emp013"/>
    <s v="Rakesh Kumar"/>
    <d v="2024-01-10T00:00:00"/>
    <d v="2024-01-10T00:00:00"/>
    <x v="0"/>
    <x v="2"/>
    <x v="0"/>
    <s v="PRJ-016"/>
    <s v="PRJ-060"/>
    <m/>
  </r>
  <r>
    <s v="emp014"/>
    <s v="Kavita Joshi"/>
    <d v="2017-02-14T00:00:00"/>
    <d v="2017-02-14T00:00:00"/>
    <x v="3"/>
    <x v="1"/>
    <x v="0"/>
    <s v="PRJ-005"/>
    <s v="PRJ-080"/>
    <m/>
  </r>
  <r>
    <s v="emp015"/>
    <s v="Nitin Arora"/>
    <s v="01.06.2020"/>
    <d v="2020-01-06T00:00:00"/>
    <x v="2"/>
    <x v="0"/>
    <x v="0"/>
    <s v="PRJ-004"/>
    <s v="PRJ-076"/>
    <s v="PRJ-078"/>
  </r>
  <r>
    <s v="emp016"/>
    <s v="Pankaj Mishra"/>
    <d v="2016-12-01T00:00:00"/>
    <d v="2016-12-01T00:00:00"/>
    <x v="6"/>
    <x v="2"/>
    <x v="0"/>
    <s v="PRJ-016"/>
    <s v="PRJ-070_x000a_"/>
    <m/>
  </r>
  <r>
    <s v="emp017"/>
    <s v="Swati Kulkarni"/>
    <d v="2021-08-15T00:00:00"/>
    <d v="2021-08-15T00:00:00"/>
    <x v="3"/>
    <x v="1"/>
    <x v="0"/>
    <s v="PRJ-001"/>
    <s v="PRJ-053"/>
    <m/>
  </r>
  <r>
    <s v="emp018"/>
    <s v="Arjun Mehta"/>
    <d v="2022-03-01T00:00:00"/>
    <d v="2022-03-01T00:00:00"/>
    <x v="6"/>
    <x v="0"/>
    <x v="1"/>
    <s v="PRJ-028"/>
    <m/>
    <m/>
  </r>
  <r>
    <s v="emp019"/>
    <s v="Isha Kapoor"/>
    <d v="2020-10-19T00:00:00"/>
    <d v="2020-10-19T00:00:00"/>
    <x v="3"/>
    <x v="2"/>
    <x v="0"/>
    <s v="PRJ-007"/>
    <s v="PRJ-051"/>
    <m/>
  </r>
  <r>
    <s v="emp020"/>
    <s v="Mohit Bansal"/>
    <d v="2019-07-22T00:00:00"/>
    <d v="2019-07-22T00:00:00"/>
    <x v="4"/>
    <x v="1"/>
    <x v="0"/>
    <s v="PRJ-025"/>
    <s v="PRJ-063"/>
    <s v="PRJ-084"/>
  </r>
  <r>
    <s v="emp021"/>
    <s v="Nisha Jain"/>
    <d v="2021-01-11T00:00:00"/>
    <d v="2021-01-11T00:00:00"/>
    <x v="6"/>
    <x v="0"/>
    <x v="1"/>
    <s v="PRJ-020"/>
    <m/>
    <m/>
  </r>
  <r>
    <s v="emp022"/>
    <s v="Varun Malhotra"/>
    <s v="2018.04.03"/>
    <d v="2018-04-03T00:00:00"/>
    <x v="3"/>
    <x v="2"/>
    <x v="0"/>
    <s v="PRJ-036"/>
    <s v="PRJ-081"/>
    <m/>
  </r>
  <r>
    <s v="emp023"/>
    <s v="Ritu Saxena"/>
    <d v="2017-05-29T00:00:00"/>
    <d v="2017-05-29T00:00:00"/>
    <x v="2"/>
    <x v="1"/>
    <x v="0"/>
    <s v="PRJ-010"/>
    <s v="PRJ-074"/>
    <m/>
  </r>
  <r>
    <s v="emp024"/>
    <s v="Akash Verma"/>
    <d v="2022-09-01T00:00:00"/>
    <d v="2022-09-01T00:00:00"/>
    <x v="6"/>
    <x v="0"/>
    <x v="0"/>
    <s v="PRJ-023"/>
    <s v="PRJ-061"/>
    <m/>
  </r>
  <r>
    <s v="emp025"/>
    <s v="Pooja Shah"/>
    <d v="2020-02-17T00:00:00"/>
    <d v="2020-02-17T00:00:00"/>
    <x v="3"/>
    <x v="2"/>
    <x v="0"/>
    <s v="PRJ-002"/>
    <s v="PRJ-070"/>
    <m/>
  </r>
  <r>
    <s v="emp026"/>
    <s v="Kunal Desai"/>
    <d v="2016-03-10T00:00:00"/>
    <d v="2016-03-10T00:00:00"/>
    <x v="4"/>
    <x v="1"/>
    <x v="2"/>
    <s v="PRJ-013"/>
    <m/>
    <m/>
  </r>
  <r>
    <s v="emp027"/>
    <s v="Aditi Chawla"/>
    <d v="2019-11-08T00:00:00"/>
    <d v="2019-11-08T00:00:00"/>
    <x v="3"/>
    <x v="0"/>
    <x v="0"/>
    <s v="PRJ-007"/>
    <s v="PRJ-055"/>
    <m/>
  </r>
  <r>
    <s v="emp028"/>
    <s v="Sarthak Jain"/>
    <d v="2021-06-14T00:00:00"/>
    <d v="2021-06-14T00:00:00"/>
    <x v="6"/>
    <x v="2"/>
    <x v="1"/>
    <s v="PRJ-036"/>
    <s v="PRJ-086"/>
    <m/>
  </r>
  <r>
    <s v="emp029"/>
    <s v="Manish Gupta"/>
    <d v="2018-08-21T00:00:00"/>
    <d v="2018-08-21T00:00:00"/>
    <x v="2"/>
    <x v="1"/>
    <x v="0"/>
    <s v="PRJ-015"/>
    <s v="PRJ-063"/>
    <m/>
  </r>
  <r>
    <s v="emp030"/>
    <s v="Riya Khanna"/>
    <d v="2022-12-05T00:00:00"/>
    <d v="2022-12-05T00:00:00"/>
    <x v="6"/>
    <x v="0"/>
    <x v="1"/>
    <s v="PRJ-021"/>
    <m/>
    <m/>
  </r>
  <r>
    <s v="emp031"/>
    <s v="Deepak Yadav"/>
    <d v="2017-04-18T00:00:00"/>
    <d v="2017-04-18T00:00:00"/>
    <x v="3"/>
    <x v="2"/>
    <x v="2"/>
    <s v="PRJ-011"/>
    <s v="PRJ-076"/>
    <m/>
  </r>
  <r>
    <s v="emp032"/>
    <s v="Shalini Mehra"/>
    <d v="2019-01-27T00:00:00"/>
    <d v="2019-01-27T00:00:00"/>
    <x v="4"/>
    <x v="1"/>
    <x v="0"/>
    <s v="PRJ-050"/>
    <s v="PRJ-058"/>
    <m/>
  </r>
  <r>
    <s v="emp033"/>
    <s v="Vikas Pandey"/>
    <s v="2016.06.09"/>
    <d v="2016-06-09T00:00:00"/>
    <x v="3"/>
    <x v="0"/>
    <x v="2"/>
    <s v="PRJ-012"/>
    <m/>
    <m/>
  </r>
  <r>
    <s v="emp034"/>
    <s v="Tanya Arora"/>
    <d v="2020-05-13T00:00:00"/>
    <d v="2020-05-13T00:00:00"/>
    <x v="6"/>
    <x v="2"/>
    <x v="1"/>
    <s v="PRJ-041"/>
    <s v="PRJ-081"/>
    <m/>
  </r>
  <r>
    <s v="emp035"/>
    <s v="Abhishek Sen"/>
    <d v="2021-10-30T00:00:00"/>
    <d v="2021-10-30T00:00:00"/>
    <x v="3"/>
    <x v="1"/>
    <x v="0"/>
    <s v="PRJ-034"/>
    <s v="PRJ-089"/>
    <m/>
  </r>
  <r>
    <s v="emp036"/>
    <s v="Meenal Kulkarni"/>
    <d v="2018-02-16T00:00:00"/>
    <d v="2018-02-16T00:00:00"/>
    <x v="2"/>
    <x v="0"/>
    <x v="0"/>
    <s v="PRJ-030"/>
    <s v="PRJ-071"/>
    <s v="PRJ-079"/>
  </r>
  <r>
    <s v="emp037"/>
    <s v="Rohan Iyer"/>
    <d v="2019-09-09T00:00:00"/>
    <d v="2019-09-09T00:00:00"/>
    <x v="3"/>
    <x v="2"/>
    <x v="0"/>
    <s v="PRJ-002"/>
    <s v="PRJ-056"/>
    <m/>
  </r>
  <r>
    <s v="emp038"/>
    <s v="Simran Kaur"/>
    <d v="2022-01-24T00:00:00"/>
    <d v="2022-01-24T00:00:00"/>
    <x v="6"/>
    <x v="1"/>
    <x v="1"/>
    <s v="PRJ-040"/>
    <m/>
    <m/>
  </r>
  <r>
    <s v="emp039"/>
    <s v="Gaurav Bhatia"/>
    <d v="2015-11-03T00:00:00"/>
    <d v="2015-11-03T00:00:00"/>
    <x v="4"/>
    <x v="0"/>
    <x v="2"/>
    <s v="PRJ-002"/>
    <s v="PRJ-088"/>
    <m/>
  </r>
  <r>
    <s v="emp040"/>
    <s v="Nivedita Roy"/>
    <s v="2020.03.18"/>
    <d v="2020-03-18T00:00:00"/>
    <x v="3"/>
    <x v="2"/>
    <x v="0"/>
    <s v="PRJ-025"/>
    <s v="PRJ-086"/>
    <m/>
  </r>
  <r>
    <s v="emp041"/>
    <s v="Shubham Agarwal"/>
    <d v="2021-07-07T00:00:00"/>
    <d v="2021-07-07T00:00:00"/>
    <x v="6"/>
    <x v="1"/>
    <x v="1"/>
    <s v="PRJ-025"/>
    <m/>
    <m/>
  </r>
  <r>
    <s v="emp042"/>
    <s v="Pallavi Deshpande"/>
    <d v="2019-12-15T00:00:00"/>
    <d v="2019-12-15T00:00:00"/>
    <x v="3"/>
    <x v="0"/>
    <x v="0"/>
    <s v="PRJ-016"/>
    <s v="PRJ-067"/>
    <m/>
  </r>
  <r>
    <s v="emp043"/>
    <s v="Harish Nair"/>
    <d v="2016-01-20T00:00:00"/>
    <d v="2016-01-20T00:00:00"/>
    <x v="2"/>
    <x v="2"/>
    <x v="2"/>
    <s v="PRJ-025"/>
    <s v="PRJ-072"/>
    <m/>
  </r>
  <r>
    <s v="emp044"/>
    <s v="Komal Srivastava"/>
    <s v="11th dec 2024"/>
    <d v="2024-12-11T00:00:00"/>
    <x v="3"/>
    <x v="1"/>
    <x v="0"/>
    <s v="PRJ-010"/>
    <m/>
    <m/>
  </r>
  <r>
    <s v="emp045"/>
    <s v="Siddharth Bose"/>
    <d v="2018-05-06T00:00:00"/>
    <d v="2018-05-06T00:00:00"/>
    <x v="7"/>
    <x v="0"/>
    <x v="0"/>
    <s v="PRJ-033"/>
    <s v="PRJ-080"/>
    <m/>
  </r>
  <r>
    <s v="emp046"/>
    <s v="Neetu Sharma"/>
    <d v="2022-04-02T00:00:00"/>
    <d v="2022-04-02T00:00:00"/>
    <x v="6"/>
    <x v="2"/>
    <x v="1"/>
    <s v="PRJ-031"/>
    <s v="PRJ-060"/>
    <m/>
  </r>
  <r>
    <s v="emp047"/>
    <s v="Pranav Kulkarni"/>
    <d v="2017-10-28T00:00:00"/>
    <d v="2017-10-28T00:00:00"/>
    <x v="3"/>
    <x v="1"/>
    <x v="2"/>
    <s v="PRJ-006"/>
    <s v="PRJ-068"/>
    <m/>
  </r>
  <r>
    <s v="emp048"/>
    <s v="Ayesha Khan"/>
    <d v="2019-06-01T00:00:00"/>
    <d v="2019-06-01T00:00:00"/>
    <x v="6"/>
    <x v="0"/>
    <x v="0"/>
    <s v="PRJ-026"/>
    <s v="PRJ-069"/>
    <m/>
  </r>
  <r>
    <s v="emp049"/>
    <s v="Sanjay Pillai"/>
    <d v="2015-02-14T00:00:00"/>
    <d v="2015-02-14T00:00:00"/>
    <x v="5"/>
    <x v="2"/>
    <x v="2"/>
    <s v="PRJ-021"/>
    <s v="PRJ-051"/>
    <m/>
  </r>
  <r>
    <s v="emp050"/>
    <s v="Ruchi Malhotra"/>
    <s v="09th jan 2023"/>
    <d v="2023-01-09T00:00:00"/>
    <x v="6"/>
    <x v="1"/>
    <x v="1"/>
    <s v="PRJ-015"/>
    <m/>
    <m/>
  </r>
  <r>
    <s v="emp051"/>
    <s v="Aarav Mehta"/>
    <d v="2019-03-12T00:00:00"/>
    <d v="2019-03-12T00:00:00"/>
    <x v="3"/>
    <x v="3"/>
    <x v="0"/>
    <s v="PRJ-010"/>
    <s v="PRJ-069 "/>
    <m/>
  </r>
  <r>
    <s v="emp052"/>
    <s v="Nupur Shah"/>
    <d v="2020-04-12T00:00:00"/>
    <d v="2020-04-12T00:00:00"/>
    <x v="6"/>
    <x v="4"/>
    <x v="1"/>
    <s v="PRJ-006"/>
    <m/>
    <m/>
  </r>
  <r>
    <s v="emp053"/>
    <s v="Siddhant Rao"/>
    <d v="2018-07-01T00:00:00"/>
    <d v="2018-07-01T00:00:00"/>
    <x v="4"/>
    <x v="5"/>
    <x v="0"/>
    <s v="PRJ-013"/>
    <s v="PRJ-077"/>
    <m/>
  </r>
  <r>
    <s v="emp054"/>
    <s v="Kavya Nair"/>
    <d v="2021-09-01T00:00:00"/>
    <d v="2021-09-01T00:00:00"/>
    <x v="3"/>
    <x v="3"/>
    <x v="0"/>
    <s v="PRJ-005"/>
    <s v="PRJ-059"/>
    <m/>
  </r>
  <r>
    <s v="emp055"/>
    <s v="Harshit Gupta"/>
    <d v="2017-11-15T00:00:00"/>
    <d v="2017-11-15T00:00:00"/>
    <x v="2"/>
    <x v="6"/>
    <x v="0"/>
    <s v="PRJ-009"/>
    <s v="PRJ-052"/>
    <m/>
  </r>
  <r>
    <s v="emp056"/>
    <s v="Rohan Kulkarni"/>
    <d v="2016-02-20T00:00:00"/>
    <d v="2016-02-20T00:00:00"/>
    <x v="3"/>
    <x v="7"/>
    <x v="0"/>
    <s v="PRJ-017"/>
    <s v="PRJ-056"/>
    <m/>
  </r>
  <r>
    <s v="emp057"/>
    <s v="Pritam Das"/>
    <s v="2019.05.09"/>
    <d v="2019-05-09T00:00:00"/>
    <x v="6"/>
    <x v="4"/>
    <x v="0"/>
    <s v="PRJ-006"/>
    <s v="PRJ-084"/>
    <m/>
  </r>
  <r>
    <s v="emp058"/>
    <s v="Shreya Malhotra"/>
    <d v="2020-08-17T00:00:00"/>
    <d v="2020-08-17T00:00:00"/>
    <x v="3"/>
    <x v="3"/>
    <x v="0"/>
    <s v="PRJ-001"/>
    <s v="PRJ-064"/>
    <m/>
  </r>
  <r>
    <s v="emp059"/>
    <s v="Kunal Verma"/>
    <d v="2018-01-25T00:00:00"/>
    <d v="2018-01-25T00:00:00"/>
    <x v="7"/>
    <x v="5"/>
    <x v="0"/>
    <s v="PRJ-026"/>
    <s v="PRJ-064"/>
    <s v="PRJ-087"/>
  </r>
  <r>
    <s v="emp060"/>
    <s v="Ritu Agarwal"/>
    <d v="2021-06-14T00:00:00"/>
    <d v="2021-06-14T00:00:00"/>
    <x v="6"/>
    <x v="4"/>
    <x v="0"/>
    <s v="PRJ-018"/>
    <s v="PRJ-058"/>
    <m/>
  </r>
  <r>
    <s v="emp061"/>
    <s v="Mohan Iyer"/>
    <d v="2017-09-03T00:00:00"/>
    <d v="2017-09-03T00:00:00"/>
    <x v="3"/>
    <x v="6"/>
    <x v="0"/>
    <s v="PRJ-022"/>
    <s v="PRJ-081"/>
    <m/>
  </r>
  <r>
    <s v="emp062"/>
    <s v="Tanya Bose"/>
    <d v="2019-12-11T00:00:00"/>
    <d v="2019-12-11T00:00:00"/>
    <x v="3"/>
    <x v="7"/>
    <x v="0"/>
    <s v="PRJ-024"/>
    <s v="PRJ-078"/>
    <m/>
  </r>
  <r>
    <s v="emp063"/>
    <s v="Aditya Kapoor"/>
    <d v="2016-04-19T00:00:00"/>
    <d v="2016-04-19T00:00:00"/>
    <x v="2"/>
    <x v="3"/>
    <x v="0"/>
    <s v="PRJ-019"/>
    <s v="PRJ-052"/>
    <s v="PRJ-059"/>
  </r>
  <r>
    <s v="emp064"/>
    <s v="Neelam Singh"/>
    <d v="2022-02-07T00:00:00"/>
    <d v="2022-02-07T00:00:00"/>
    <x v="6"/>
    <x v="4"/>
    <x v="1"/>
    <s v="PRJ-011"/>
    <m/>
    <m/>
  </r>
  <r>
    <s v="emp065"/>
    <s v="Varsha Kulkarni"/>
    <s v="2018.10.22"/>
    <d v="2018-10-22T00:00:00"/>
    <x v="3"/>
    <x v="5"/>
    <x v="0"/>
    <s v="PRJ-009"/>
    <s v="PRJ-082"/>
    <m/>
  </r>
  <r>
    <s v="emp066"/>
    <s v="Aman Choudhary"/>
    <d v="2020-01-30T00:00:00"/>
    <d v="2020-01-30T00:00:00"/>
    <x v="7"/>
    <x v="6"/>
    <x v="0"/>
    <s v="PRJ-020"/>
    <s v="PRJ-066"/>
    <s v="PRJ-077"/>
  </r>
  <r>
    <s v="emp067"/>
    <s v="Poonam Tiwari"/>
    <d v="2019-06-05T00:00:00"/>
    <d v="2019-06-05T00:00:00"/>
    <x v="3"/>
    <x v="7"/>
    <x v="0"/>
    <s v="PRJ-031"/>
    <m/>
    <m/>
  </r>
  <r>
    <s v="emp068"/>
    <s v="Yash Bansal"/>
    <d v="2021-03-18T00:00:00"/>
    <d v="2021-03-18T00:00:00"/>
    <x v="6"/>
    <x v="3"/>
    <x v="1"/>
    <s v="PRJ-016"/>
    <m/>
    <m/>
  </r>
  <r>
    <s v="emp069"/>
    <s v="Nikhil Arora"/>
    <d v="2017-07-27T00:00:00"/>
    <d v="2017-07-27T00:00:00"/>
    <x v="3"/>
    <x v="4"/>
    <x v="0"/>
    <s v="PRJ-001"/>
    <s v="PRJ-053"/>
    <m/>
  </r>
  <r>
    <s v="emp070"/>
    <s v="Rashi Malhotra"/>
    <d v="2022-05-11T00:00:00"/>
    <d v="2022-05-11T00:00:00"/>
    <x v="6"/>
    <x v="5"/>
    <x v="1"/>
    <s v="PRJ-037"/>
    <m/>
    <m/>
  </r>
  <r>
    <s v="emp071"/>
    <s v="Abhinav Jain"/>
    <d v="2016-09-14T00:00:00"/>
    <d v="2016-09-14T00:00:00"/>
    <x v="2"/>
    <x v="6"/>
    <x v="0"/>
    <s v="PRJ-038"/>
    <s v="PRJ-071"/>
    <m/>
  </r>
  <r>
    <s v="emp072"/>
    <s v="Komal Vyas"/>
    <d v="2018-12-03T00:00:00"/>
    <d v="2018-12-03T00:00:00"/>
    <x v="3"/>
    <x v="3"/>
    <x v="0"/>
    <s v="PRJ-019"/>
    <s v="PRJ-075"/>
    <m/>
  </r>
  <r>
    <s v="emp073"/>
    <s v="Parth Shah"/>
    <d v="2019-04-26T00:00:00"/>
    <d v="2019-04-26T00:00:00"/>
    <x v="7"/>
    <x v="4"/>
    <x v="0"/>
    <s v="PRJ-027"/>
    <s v="PRJ-074"/>
    <s v="PRJ-079"/>
  </r>
  <r>
    <s v="emp074"/>
    <s v="Meera Joshi"/>
    <d v="2021-07-08T00:00:00"/>
    <d v="2021-07-08T00:00:00"/>
    <x v="6"/>
    <x v="7"/>
    <x v="0"/>
    <s v="PRJ-008"/>
    <s v="PRJ-072"/>
    <m/>
  </r>
  <r>
    <s v="emp075"/>
    <s v="Raghav Mishra"/>
    <s v="2017.02.16"/>
    <d v="2017-02-16T00:00:00"/>
    <x v="3"/>
    <x v="5"/>
    <x v="0"/>
    <s v="PRJ-042"/>
    <s v="PRJ-073"/>
    <m/>
  </r>
  <r>
    <s v="emp076"/>
    <s v="Snehal Patil"/>
    <d v="2020-10-29T00:00:00"/>
    <d v="2020-10-29T00:00:00"/>
    <x v="3"/>
    <x v="3"/>
    <x v="0"/>
    <s v="PRJ-002"/>
    <m/>
    <m/>
  </r>
  <r>
    <s v="emp077"/>
    <s v="Vimal Khanna"/>
    <d v="2018-01-13T00:00:00"/>
    <d v="2018-01-13T00:00:00"/>
    <x v="7"/>
    <x v="6"/>
    <x v="0"/>
    <s v="PRJ-040"/>
    <m/>
    <m/>
  </r>
  <r>
    <s v="emp078"/>
    <s v="Aishwarya Kulkarni"/>
    <d v="2022-06-21T00:00:00"/>
    <d v="2022-06-21T00:00:00"/>
    <x v="6"/>
    <x v="4"/>
    <x v="1"/>
    <s v="PRJ-018"/>
    <m/>
    <m/>
  </r>
  <r>
    <s v="emp079"/>
    <s v="Devansh Gupta"/>
    <d v="2016-05-04T00:00:00"/>
    <d v="2016-05-04T00:00:00"/>
    <x v="2"/>
    <x v="7"/>
    <x v="0"/>
    <s v="PRJ-014"/>
    <s v="PRJ-057"/>
    <m/>
  </r>
  <r>
    <s v="emp080"/>
    <s v="Pallavi Mehta"/>
    <d v="2019-11-19T00:00:00"/>
    <d v="2019-11-19T00:00:00"/>
    <x v="3"/>
    <x v="3"/>
    <x v="0"/>
    <s v="PRJ-028"/>
    <s v="PRJ-054"/>
    <m/>
  </r>
  <r>
    <s v="emp081"/>
    <s v="Aniket Rao"/>
    <d v="2017-03-07T00:00:00"/>
    <d v="2017-03-07T00:00:00"/>
    <x v="3"/>
    <x v="6"/>
    <x v="1"/>
    <s v="PRJ-048"/>
    <s v="PRJ-057"/>
    <m/>
  </r>
  <r>
    <s v="emp115"/>
    <s v="Shreya Rai"/>
    <d v="2019-11-19T00:00:00"/>
    <d v="2019-11-19T00:00:00"/>
    <x v="3"/>
    <x v="6"/>
    <x v="0"/>
    <s v="PRJ-032"/>
    <m/>
    <m/>
  </r>
  <r>
    <s v="emp082"/>
    <s v="Rina Dsouza"/>
    <s v="2020.09.02"/>
    <d v="2020-09-02T00:00:00"/>
    <x v="6"/>
    <x v="4"/>
    <x v="1"/>
    <s v="PRJ-001"/>
    <m/>
    <m/>
  </r>
  <r>
    <s v="emp083"/>
    <s v="Karthik Nair"/>
    <d v="2018-08-28T00:00:00"/>
    <d v="2018-08-28T00:00:00"/>
    <x v="3"/>
    <x v="5"/>
    <x v="0"/>
    <s v="PRJ-005"/>
    <m/>
    <m/>
  </r>
  <r>
    <s v="emp084"/>
    <s v="Shubhi Arora"/>
    <d v="2021-01-16T00:00:00"/>
    <d v="2021-01-16T00:00:00"/>
    <x v="6"/>
    <x v="7"/>
    <x v="0"/>
    <s v="PRJ-003"/>
    <m/>
    <m/>
  </r>
  <r>
    <s v="emp085"/>
    <s v="Manav Kapoor"/>
    <d v="2016-12-09T00:00:00"/>
    <d v="2016-12-09T00:00:00"/>
    <x v="7"/>
    <x v="3"/>
    <x v="0"/>
    <s v="PRJ-008"/>
    <s v="PRJ-075"/>
    <s v="PRJ-069"/>
  </r>
  <r>
    <s v="emp086"/>
    <s v="Rupal Shah"/>
    <d v="2019-05-31T00:00:00"/>
    <d v="2019-05-31T00:00:00"/>
    <x v="3"/>
    <x v="4"/>
    <x v="0"/>
    <s v="PRJ-015"/>
    <s v="PRJ-068"/>
    <m/>
  </r>
  <r>
    <s v="emp087"/>
    <s v="Vinayak Patil"/>
    <d v="2017-06-23T00:00:00"/>
    <d v="2017-06-23T00:00:00"/>
    <x v="2"/>
    <x v="6"/>
    <x v="0"/>
    <s v="PRJ-017"/>
    <m/>
    <m/>
  </r>
  <r>
    <s v="emp088"/>
    <s v="Ishita Malhotra"/>
    <d v="2022-03-04T00:00:00"/>
    <d v="2022-03-04T00:00:00"/>
    <x v="6"/>
    <x v="5"/>
    <x v="1"/>
    <s v="PRJ-043"/>
    <m/>
    <m/>
  </r>
  <r>
    <s v="emp089"/>
    <s v="Saurabh Jain"/>
    <d v="2018-10-17T00:00:00"/>
    <d v="2018-10-17T00:00:00"/>
    <x v="3"/>
    <x v="7"/>
    <x v="0"/>
    <s v="PRJ-032"/>
    <m/>
    <m/>
  </r>
  <r>
    <s v="emp090"/>
    <s v="Tanvi Kulkarni"/>
    <d v="2020-07-12T00:00:00"/>
    <d v="2020-07-12T00:00:00"/>
    <x v="6"/>
    <x v="4"/>
    <x v="0"/>
    <s v="PRJ-029"/>
    <m/>
    <m/>
  </r>
  <r>
    <s v="emp091"/>
    <s v="Keshav Arora"/>
    <s v="2016.04.01"/>
    <d v="2016-04-01T00:00:00"/>
    <x v="3"/>
    <x v="3"/>
    <x v="1"/>
    <s v="PRJ-012"/>
    <m/>
    <m/>
  </r>
  <r>
    <s v="emp092"/>
    <s v="Monica Bansal"/>
    <d v="2019-02-14T00:00:00"/>
    <d v="2019-02-14T00:00:00"/>
    <x v="3"/>
    <x v="6"/>
    <x v="0"/>
    <s v="PRJ-027"/>
    <s v="PRJ-077"/>
    <m/>
  </r>
  <r>
    <s v="emp093"/>
    <s v="Rajat Khurana"/>
    <d v="2017-08-26T00:00:00"/>
    <d v="2017-08-26T00:00:00"/>
    <x v="7"/>
    <x v="5"/>
    <x v="0"/>
    <s v="PRJ-019"/>
    <s v="PRJ-066"/>
    <m/>
  </r>
  <r>
    <s v="emp094"/>
    <s v="Naina Sethi"/>
    <d v="2021-11-06T00:00:00"/>
    <d v="2021-11-06T00:00:00"/>
    <x v="6"/>
    <x v="7"/>
    <x v="0"/>
    <s v="PRJ-024"/>
    <s v="PRJ-083"/>
    <m/>
  </r>
  <r>
    <s v="emp095"/>
    <s v="Ashwin Iyer"/>
    <d v="2018-06-18T00:00:00"/>
    <d v="2018-06-18T00:00:00"/>
    <x v="2"/>
    <x v="3"/>
    <x v="0"/>
    <s v="PRJ-022"/>
    <s v="PRJ-090"/>
    <m/>
  </r>
  <r>
    <s v="emp096"/>
    <s v="Preeti Goyal"/>
    <d v="2020-02-09T00:00:00"/>
    <d v="2020-02-09T00:00:00"/>
    <x v="3"/>
    <x v="4"/>
    <x v="0"/>
    <s v="PRJ-045"/>
    <s v="PRJ-063"/>
    <m/>
  </r>
  <r>
    <s v="emp097"/>
    <s v="Lakshya Jain"/>
    <d v="2016-09-30T00:00:00"/>
    <d v="2016-09-30T00:00:00"/>
    <x v="3"/>
    <x v="6"/>
    <x v="1"/>
    <s v="PRJ-037"/>
    <m/>
    <m/>
  </r>
  <r>
    <s v="emp098"/>
    <s v="Bhavya Malhotra"/>
    <d v="2019-01-05T00:00:00"/>
    <d v="2019-01-05T00:00:00"/>
    <x v="6"/>
    <x v="5"/>
    <x v="1"/>
    <s v="PRJ-038"/>
    <m/>
    <m/>
  </r>
  <r>
    <s v="emp099"/>
    <s v="Tarun Saxena"/>
    <d v="2017-03-22T00:00:00"/>
    <d v="2017-03-22T00:00:00"/>
    <x v="7"/>
    <x v="7"/>
    <x v="0"/>
    <s v="PRJ-038"/>
    <m/>
    <m/>
  </r>
  <r>
    <s v="emp100"/>
    <s v="Juhi Kapoor"/>
    <d v="2022-08-01T00:00:00"/>
    <d v="2022-08-01T00:00:00"/>
    <x v="6"/>
    <x v="3"/>
    <x v="1"/>
    <s v="PRJ-008"/>
    <m/>
    <m/>
  </r>
  <r>
    <s v="emp101"/>
    <s v="Taarak Goyal"/>
    <d v="2024-02-11T00:00:00"/>
    <d v="2024-02-11T00:00:00"/>
    <x v="0"/>
    <x v="4"/>
    <x v="0"/>
    <s v="PRJ-034"/>
    <s v="PRJ-088"/>
    <m/>
  </r>
  <r>
    <s v="emp102"/>
    <s v="Himank Arora"/>
    <n v="46003"/>
    <d v="2025-12-12T00:00:00"/>
    <x v="2"/>
    <x v="4"/>
    <x v="1"/>
    <s v="PRJ-049"/>
    <m/>
    <m/>
  </r>
  <r>
    <s v="emp103"/>
    <s v="Siddhesh Kunda"/>
    <m/>
    <s v=""/>
    <x v="1"/>
    <x v="3"/>
    <x v="0"/>
    <s v="PRJ-035"/>
    <s v="PRJ-082 "/>
    <m/>
  </r>
  <r>
    <s v="emp104"/>
    <s v="Karan Patel"/>
    <s v="2025.12.23"/>
    <d v="2025-12-23T00:00:00"/>
    <x v="2"/>
    <x v="3"/>
    <x v="0"/>
    <s v="PRJ-046"/>
    <s v="PRJ-054"/>
    <m/>
  </r>
  <r>
    <s v="emp105"/>
    <s v="Keona Kerry"/>
    <s v="12-31-25"/>
    <d v="2025-12-31T00:00:00"/>
    <x v="8"/>
    <x v="3"/>
    <x v="1"/>
    <s v="PRJ-042"/>
    <m/>
    <m/>
  </r>
  <r>
    <s v="emp106"/>
    <s v="Krishna Arora"/>
    <d v="2025-12-12T00:00:00"/>
    <d v="2025-12-12T00:00:00"/>
    <x v="8"/>
    <x v="3"/>
    <x v="2"/>
    <s v="PRJ-035"/>
    <s v="PRJ-090"/>
    <m/>
  </r>
  <r>
    <s v="emp107"/>
    <s v="Neelam Jha"/>
    <m/>
    <s v=""/>
    <x v="5"/>
    <x v="2"/>
    <x v="0"/>
    <s v="PRJ-041"/>
    <s v="PRJ-076"/>
    <m/>
  </r>
  <r>
    <s v="emp108"/>
    <s v="Sanjeev Kapur"/>
    <d v="2017-04-18T00:00:00"/>
    <d v="2017-04-18T00:00:00"/>
    <x v="0"/>
    <x v="2"/>
    <x v="0"/>
    <s v="PRJ-050"/>
    <s v="PRJ-065"/>
    <m/>
  </r>
  <r>
    <s v="emp110"/>
    <s v="Tanu Sehgal"/>
    <d v="2025-10-19T00:00:00"/>
    <d v="2025-10-19T00:00:00"/>
    <x v="6"/>
    <x v="2"/>
    <x v="1"/>
    <s v="PRJ-046"/>
    <m/>
    <m/>
  </r>
  <r>
    <s v="emp111"/>
    <s v="Sakshi Ahuja"/>
    <d v="2023-12-21T00:00:00"/>
    <d v="2023-12-21T00:00:00"/>
    <x v="2"/>
    <x v="0"/>
    <x v="0"/>
    <s v="PRJ-026"/>
    <s v="PRJ-085"/>
    <m/>
  </r>
  <r>
    <s v="emp123"/>
    <s v="Srishti Jain"/>
    <s v="2016.12.31"/>
    <d v="2016-12-31T00:00:00"/>
    <x v="0"/>
    <x v="0"/>
    <x v="0"/>
    <s v="PRJ-044"/>
    <s v="PRJ-061"/>
    <s v="PRJ-088"/>
  </r>
  <r>
    <s v="emp046"/>
    <s v="Neetu Sharma"/>
    <d v="2022-04-02T00:00:00"/>
    <d v="2022-04-02T00:00:00"/>
    <x v="6"/>
    <x v="2"/>
    <x v="1"/>
    <s v="PRJ-031"/>
    <s v="PRJ-060"/>
    <m/>
  </r>
  <r>
    <s v="emp114"/>
    <s v="Naresh Pal"/>
    <d v="2024-12-12T00:00:00"/>
    <d v="2024-12-12T00:00:00"/>
    <x v="6"/>
    <x v="0"/>
    <x v="0"/>
    <s v="PRJ-036"/>
    <s v="PRJ-059"/>
    <m/>
  </r>
  <r>
    <s v="emp152"/>
    <s v="Deepak Galgotiya"/>
    <d v="2023-01-30T00:00:00"/>
    <d v="2023-01-30T00:00:00"/>
    <x v="2"/>
    <x v="0"/>
    <x v="2"/>
    <s v="PRJ-049"/>
    <s v="PRJ-073"/>
    <m/>
  </r>
  <r>
    <s v="emp130"/>
    <s v="Priya Ratwani"/>
    <n v="43159"/>
    <d v="2018-02-28T00:00:00"/>
    <x v="2"/>
    <x v="0"/>
    <x v="0"/>
    <s v="PRJ-047"/>
    <s v="PRJ-055"/>
    <s v="PRJ-089"/>
  </r>
  <r>
    <s v="emp135"/>
    <s v="Anchal Rastogi"/>
    <d v="2020-02-04T00:00:00"/>
    <d v="2020-02-04T00:00:00"/>
    <x v="6"/>
    <x v="0"/>
    <x v="1"/>
    <s v="PRJ-039"/>
    <m/>
    <m/>
  </r>
  <r>
    <s v="emp109"/>
    <s v="Nishi Mishra"/>
    <d v="2020-10-29T00:00:00"/>
    <d v="2020-10-29T00:00:00"/>
    <x v="6"/>
    <x v="6"/>
    <x v="0"/>
    <s v="PRJ-003"/>
    <s v="PRJ-066"/>
    <m/>
  </r>
  <r>
    <s v="emp112"/>
    <s v="Atharva Arnav"/>
    <d v="2016-05-04T00:00:00"/>
    <d v="2016-05-04T00:00:00"/>
    <x v="2"/>
    <x v="6"/>
    <x v="0"/>
    <s v="PRJ-017"/>
    <m/>
    <m/>
  </r>
  <r>
    <s v="emp113"/>
    <s v="Shrey Vishwakarma"/>
    <d v="2017-03-22T00:00:00"/>
    <d v="2017-03-22T00:00:00"/>
    <x v="7"/>
    <x v="6"/>
    <x v="0"/>
    <s v="PRJ-004"/>
    <s v="PRJ-055"/>
    <m/>
  </r>
  <r>
    <s v="emp115"/>
    <s v="Shreya Rai"/>
    <d v="2019-11-19T00:00:00"/>
    <d v="2019-11-19T00:00:00"/>
    <x v="3"/>
    <x v="6"/>
    <x v="0"/>
    <s v="PRJ-032"/>
    <m/>
    <m/>
  </r>
  <r>
    <s v="emp116"/>
    <s v="Anjali Kapoor"/>
    <s v="2025.12.23"/>
    <d v="2025-12-23T00:00:00"/>
    <x v="3"/>
    <x v="6"/>
    <x v="0"/>
    <s v="PRJ-003"/>
    <s v="PRJ-083"/>
    <m/>
  </r>
  <r>
    <s v="emp117"/>
    <s v="Himanshi Mathur"/>
    <s v="12-31-25"/>
    <d v="2025-12-31T00:00:00"/>
    <x v="3"/>
    <x v="6"/>
    <x v="2"/>
    <s v="PRJ-039"/>
    <s v="PRJ-071_x000a_"/>
    <m/>
  </r>
  <r>
    <s v="emp118"/>
    <s v="Ayush Negi"/>
    <d v="2016-05-04T00:00:00"/>
    <d v="2016-05-04T00:00:00"/>
    <x v="6"/>
    <x v="6"/>
    <x v="2"/>
    <s v="PRJ-027"/>
    <s v="PRJ-087"/>
    <m/>
  </r>
  <r>
    <s v="emp119"/>
    <s v="Aradhya Jha"/>
    <s v="2020.09.02"/>
    <d v="2020-09-02T00:00:00"/>
    <x v="5"/>
    <x v="6"/>
    <x v="0"/>
    <s v="PRJ-043"/>
    <s v="PRJ-062"/>
    <m/>
  </r>
  <r>
    <s v="emp120"/>
    <s v="Jagdish Pal"/>
    <d v="2020-01-30T00:00:00"/>
    <d v="2020-01-30T00:00:00"/>
    <x v="2"/>
    <x v="7"/>
    <x v="0"/>
    <s v="PRJ-048"/>
    <s v="PRJ-062"/>
    <m/>
  </r>
  <r>
    <s v="emp121"/>
    <s v="Jekanth Kedia"/>
    <d v="2017-03-07T00:00:00"/>
    <d v="2017-03-07T00:00:00"/>
    <x v="6"/>
    <x v="7"/>
    <x v="0"/>
    <s v="PRJ-041"/>
    <m/>
    <m/>
  </r>
  <r>
    <s v="emp122"/>
    <s v="Ruby Gupta"/>
    <d v="2022-06-21T00:00:00"/>
    <d v="2022-06-21T00:00:00"/>
    <x v="3"/>
    <x v="7"/>
    <x v="0"/>
    <s v="PRJ-047"/>
    <s v="PRJ-088"/>
    <m/>
  </r>
  <r>
    <s v="emp123"/>
    <s v="Srishti Jain"/>
    <d v="2016-12-31T00:00:00"/>
    <d v="2016-12-31T00:00:00"/>
    <x v="0"/>
    <x v="0"/>
    <x v="0"/>
    <s v="PRJ-044"/>
    <s v="PRJ-061"/>
    <s v="PRJ-0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Digital Revamp"/>
    <d v="2025-08-11T00:00:00"/>
    <d v="2025-08-11T00:00:00"/>
    <d v="2026-01-16T00:00:00"/>
    <d v="2026-01-16T00:00:00"/>
    <d v="2026-10-27T00:00:00"/>
    <d v="2026-10-27T00:00:00"/>
    <n v="442"/>
    <x v="0"/>
  </r>
  <r>
    <x v="1"/>
    <s v="AI Chatbot Rollout"/>
    <d v="2025-09-01T00:00:00"/>
    <d v="2025-09-01T00:00:00"/>
    <d v="2026-10-03T00:00:00"/>
    <d v="2026-10-03T00:00:00"/>
    <m/>
    <d v="2026-10-03T00:00:00"/>
    <n v="397"/>
    <x v="0"/>
  </r>
  <r>
    <x v="2"/>
    <s v="Cloud Migration Phase 1"/>
    <d v="2025-09-15T00:00:00"/>
    <d v="2025-09-15T00:00:00"/>
    <d v="2025-12-31T00:00:00"/>
    <d v="2025-12-31T00:00:00"/>
    <d v="2026-03-27T00:00:00"/>
    <d v="2026-03-27T00:00:00"/>
    <n v="193"/>
    <x v="0"/>
  </r>
  <r>
    <x v="3"/>
    <s v="Data Lake Setup"/>
    <d v="2026-02-16T00:00:00"/>
    <d v="2026-02-16T00:00:00"/>
    <d v="2026-04-24T00:00:00"/>
    <d v="2026-04-24T00:00:00"/>
    <m/>
    <d v="2026-04-24T00:00:00"/>
    <n v="67"/>
    <x v="1"/>
  </r>
  <r>
    <x v="4"/>
    <s v="CRM Enhancement"/>
    <d v="2024-08-06T00:00:00"/>
    <d v="2024-08-06T00:00:00"/>
    <d v="2026-04-15T00:00:00"/>
    <d v="2026-04-15T00:00:00"/>
    <m/>
    <d v="2026-04-15T00:00:00"/>
    <n v="617"/>
    <x v="0"/>
  </r>
  <r>
    <x v="5"/>
    <s v="Mobile App Redesign"/>
    <d v="2025-04-01T00:00:00"/>
    <d v="2025-04-01T00:00:00"/>
    <d v="2026-12-31T00:00:00"/>
    <d v="2026-12-31T00:00:00"/>
    <m/>
    <d v="2026-12-31T00:00:00"/>
    <n v="639"/>
    <x v="0"/>
  </r>
  <r>
    <x v="6"/>
    <s v="AI Demand Forecasting"/>
    <d v="2024-06-15T00:00:00"/>
    <d v="2024-06-15T00:00:00"/>
    <d v="2026-08-31T00:00:00"/>
    <d v="2026-08-31T00:00:00"/>
    <m/>
    <d v="2026-08-31T00:00:00"/>
    <n v="807"/>
    <x v="0"/>
  </r>
  <r>
    <x v="7"/>
    <s v="QA Automation Suite"/>
    <d v="2024-05-13T00:00:00"/>
    <d v="2024-05-13T00:00:00"/>
    <d v="2026-06-15T00:00:00"/>
    <d v="2026-06-15T00:00:00"/>
    <m/>
    <d v="2026-06-15T00:00:00"/>
    <n v="763"/>
    <x v="0"/>
  </r>
  <r>
    <x v="8"/>
    <s v="Cloud Cost Optimization"/>
    <d v="2025-02-01T00:00:00"/>
    <d v="2025-02-01T00:00:00"/>
    <d v="2026-04-30T00:00:00"/>
    <d v="2026-04-30T00:00:00"/>
    <m/>
    <d v="2026-04-30T00:00:00"/>
    <n v="453"/>
    <x v="0"/>
  </r>
  <r>
    <x v="9"/>
    <s v="Website Performance Boost"/>
    <d v="2025-07-09T00:00:00"/>
    <d v="2025-07-09T00:00:00"/>
    <d v="2026-08-15T00:00:00"/>
    <d v="2026-08-15T00:00:00"/>
    <m/>
    <d v="2026-08-15T00:00:00"/>
    <n v="402"/>
    <x v="0"/>
  </r>
  <r>
    <x v="10"/>
    <s v="AI Resume Screener"/>
    <d v="2025-04-17T00:00:00"/>
    <d v="2025-04-17T00:00:00"/>
    <d v="2026-04-16T00:00:00"/>
    <d v="2026-04-16T00:00:00"/>
    <m/>
    <d v="2026-04-16T00:00:00"/>
    <n v="364"/>
    <x v="0"/>
  </r>
  <r>
    <x v="11"/>
    <s v="Data Quality Program"/>
    <d v="2025-08-18T00:00:00"/>
    <d v="2025-08-18T00:00:00"/>
    <d v="2026-08-17T00:00:00"/>
    <d v="2026-08-17T00:00:00"/>
    <m/>
    <d v="2026-08-17T00:00:00"/>
    <n v="364"/>
    <x v="0"/>
  </r>
  <r>
    <x v="12"/>
    <s v="PMO Dashboard Revamp"/>
    <d v="2025-08-11T00:00:00"/>
    <d v="2025-08-11T00:00:00"/>
    <d v="2026-09-25T00:00:00"/>
    <d v="2026-09-25T00:00:00"/>
    <m/>
    <d v="2026-09-25T00:00:00"/>
    <n v="410"/>
    <x v="0"/>
  </r>
  <r>
    <x v="13"/>
    <s v="Support Ticket Analytics"/>
    <d v="2025-08-18T00:00:00"/>
    <d v="2025-08-18T00:00:00"/>
    <d v="2026-11-06T00:00:00"/>
    <d v="2026-11-06T00:00:00"/>
    <m/>
    <d v="2026-11-06T00:00:00"/>
    <n v="445"/>
    <x v="0"/>
  </r>
  <r>
    <x v="14"/>
    <s v="Digital Marketing Platform"/>
    <d v="2025-08-18T00:00:00"/>
    <d v="2025-08-18T00:00:00"/>
    <d v="2026-10-02T00:00:00"/>
    <d v="2026-10-02T00:00:00"/>
    <m/>
    <d v="2026-10-02T00:00:00"/>
    <n v="410"/>
    <x v="0"/>
  </r>
  <r>
    <x v="15"/>
    <s v="AI Fraud Detection"/>
    <d v="2025-09-03T00:00:00"/>
    <d v="2025-09-03T00:00:00"/>
    <d v="2026-11-11T00:00:00"/>
    <d v="2026-11-11T00:00:00"/>
    <m/>
    <d v="2026-11-11T00:00:00"/>
    <n v="434"/>
    <x v="0"/>
  </r>
  <r>
    <x v="16"/>
    <s v="Cloud DR Setup"/>
    <d v="2025-05-12T00:00:00"/>
    <d v="2025-05-12T00:00:00"/>
    <d v="2026-07-31T00:00:00"/>
    <d v="2026-07-31T00:00:00"/>
    <m/>
    <d v="2026-07-31T00:00:00"/>
    <n v="445"/>
    <x v="0"/>
  </r>
  <r>
    <x v="17"/>
    <s v="UX Research Initiative"/>
    <d v="2024-04-25T00:00:00"/>
    <d v="2024-04-25T00:00:00"/>
    <d v="2026-02-28T00:00:00"/>
    <d v="2026-02-28T00:00:00"/>
    <m/>
    <d v="2026-02-28T00:00:00"/>
    <n v="674"/>
    <x v="0"/>
  </r>
  <r>
    <x v="18"/>
    <s v="QA Process Standardization"/>
    <d v="2024-07-01T00:00:00"/>
    <d v="2024-07-01T00:00:00"/>
    <d v="2025-12-01T00:00:00"/>
    <d v="2025-12-01T00:00:00"/>
    <m/>
    <d v="2025-12-01T00:00:00"/>
    <n v="518"/>
    <x v="0"/>
  </r>
  <r>
    <x v="19"/>
    <s v="Data Migration Program"/>
    <d v="2025-01-01T00:00:00"/>
    <d v="2025-01-01T00:00:00"/>
    <d v="2026-01-31T00:00:00"/>
    <d v="2026-01-31T00:00:00"/>
    <m/>
    <d v="2026-01-31T00:00:00"/>
    <n v="395"/>
    <x v="0"/>
  </r>
  <r>
    <x v="20"/>
    <s v="AI Recommendation Engine"/>
    <d v="2025-07-21T00:00:00"/>
    <d v="2025-07-21T00:00:00"/>
    <d v="2026-10-21T00:00:00"/>
    <d v="2026-10-21T00:00:00"/>
    <m/>
    <d v="2026-10-21T00:00:00"/>
    <n v="457"/>
    <x v="0"/>
  </r>
  <r>
    <x v="21"/>
    <s v="Cloud Security Audit"/>
    <d v="2025-01-01T00:00:00"/>
    <d v="2025-01-01T00:00:00"/>
    <d v="2026-01-21T00:00:00"/>
    <d v="2026-01-21T00:00:00"/>
    <m/>
    <d v="2026-01-21T00:00:00"/>
    <n v="385"/>
    <x v="0"/>
  </r>
  <r>
    <x v="22"/>
    <s v="Digital Sales Dashboard"/>
    <d v="2025-08-18T00:00:00"/>
    <d v="2025-08-18T00:00:00"/>
    <d v="2026-10-02T00:00:00"/>
    <d v="2026-10-02T00:00:00"/>
    <m/>
    <d v="2026-10-02T00:00:00"/>
    <n v="410"/>
    <x v="0"/>
  </r>
  <r>
    <x v="23"/>
    <s v="Support Knowledge Base"/>
    <d v="2023-08-22T00:00:00"/>
    <d v="2023-08-22T00:00:00"/>
    <d v="2025-11-30T00:00:00"/>
    <d v="2025-11-30T00:00:00"/>
    <d v="2026-02-05T00:00:00"/>
    <d v="2026-02-05T00:00:00"/>
    <n v="898"/>
    <x v="0"/>
  </r>
  <r>
    <x v="24"/>
    <s v="AI Voice Bot"/>
    <d v="2025-09-08T00:00:00"/>
    <d v="2025-09-08T00:00:00"/>
    <d v="2026-12-31T00:00:00"/>
    <d v="2026-12-31T00:00:00"/>
    <m/>
    <d v="2026-12-31T00:00:00"/>
    <n v="479"/>
    <x v="0"/>
  </r>
  <r>
    <x v="25"/>
    <s v="Data Governance Setup"/>
    <d v="2025-09-22T00:00:00"/>
    <d v="2025-09-22T00:00:00"/>
    <d v="2025-12-05T00:00:00"/>
    <d v="2025-12-05T00:00:00"/>
    <d v="2026-07-31T00:00:00"/>
    <d v="2026-07-31T00:00:00"/>
    <n v="312"/>
    <x v="0"/>
  </r>
  <r>
    <x v="26"/>
    <s v="Cloud App Modernization"/>
    <d v="2025-11-20T00:00:00"/>
    <d v="2025-11-20T00:00:00"/>
    <d v="2026-06-30T00:00:00"/>
    <d v="2026-06-30T00:00:00"/>
    <m/>
    <d v="2026-06-30T00:00:00"/>
    <n v="222"/>
    <x v="0"/>
  </r>
  <r>
    <x v="27"/>
    <s v="QA Metrics Dashboard"/>
    <d v="2025-10-01T00:00:00"/>
    <d v="2025-10-01T00:00:00"/>
    <d v="2026-01-01T00:00:00"/>
    <d v="2026-01-01T00:00:00"/>
    <d v="2026-02-27T00:00:00"/>
    <d v="2026-02-27T00:00:00"/>
    <n v="149"/>
    <x v="0"/>
  </r>
  <r>
    <x v="28"/>
    <s v="Digital Onboarding Flow"/>
    <d v="2026-01-08T00:00:00"/>
    <d v="2026-01-08T00:00:00"/>
    <d v="2026-04-03T00:00:00"/>
    <d v="2026-04-03T00:00:00"/>
    <d v="2026-04-24T00:00:00"/>
    <d v="2026-04-24T00:00:00"/>
    <n v="106"/>
    <x v="0"/>
  </r>
  <r>
    <x v="29"/>
    <s v="AI Chat Analytics"/>
    <d v="2025-09-08T00:00:00"/>
    <d v="2025-09-08T00:00:00"/>
    <d v="2025-12-31T00:00:00"/>
    <d v="2025-12-31T00:00:00"/>
    <d v="2026-02-13T00:00:00"/>
    <d v="2026-02-13T00:00:00"/>
    <n v="158"/>
    <x v="0"/>
  </r>
  <r>
    <x v="30"/>
    <s v="Support Automation"/>
    <d v="2025-04-01T00:00:00"/>
    <d v="2025-04-01T00:00:00"/>
    <d v="2025-06-30T00:00:00"/>
    <d v="2025-06-30T00:00:00"/>
    <m/>
    <d v="2025-06-30T00:00:00"/>
    <n v="90"/>
    <x v="1"/>
  </r>
  <r>
    <x v="31"/>
    <s v="Cloud Monitoring Setup"/>
    <d v="2025-04-01T00:00:00"/>
    <d v="2025-04-01T00:00:00"/>
    <d v="2026-08-31T00:00:00"/>
    <d v="2026-08-31T00:00:00"/>
    <m/>
    <d v="2026-08-31T00:00:00"/>
    <n v="517"/>
    <x v="0"/>
  </r>
  <r>
    <x v="32"/>
    <s v="Data Reporting Factory"/>
    <d v="2025-04-01T00:00:00"/>
    <d v="2025-04-01T00:00:00"/>
    <d v="2026-09-11T00:00:00"/>
    <d v="2026-09-11T00:00:00"/>
    <m/>
    <d v="2026-09-11T00:00:00"/>
    <n v="528"/>
    <x v="0"/>
  </r>
  <r>
    <x v="33"/>
    <s v="Digital UX Cleanup"/>
    <d v="2025-04-01T00:00:00"/>
    <d v="2025-04-01T00:00:00"/>
    <d v="2026-03-31T00:00:00"/>
    <d v="2026-03-31T00:00:00"/>
    <m/>
    <d v="2026-03-31T00:00:00"/>
    <n v="364"/>
    <x v="0"/>
  </r>
  <r>
    <x v="34"/>
    <s v="QA Regression Automation"/>
    <d v="2025-04-01T00:00:00"/>
    <d v="2025-04-01T00:00:00"/>
    <d v="2026-05-28T00:00:00"/>
    <d v="2026-05-28T00:00:00"/>
    <m/>
    <d v="2026-05-28T00:00:00"/>
    <n v="422"/>
    <x v="0"/>
  </r>
  <r>
    <x v="35"/>
    <s v="AI Model Retraining"/>
    <d v="2025-04-01T00:00:00"/>
    <d v="2025-04-01T00:00:00"/>
    <d v="2026-10-29T00:00:00"/>
    <d v="2026-10-29T00:00:00"/>
    <m/>
    <d v="2026-10-29T00:00:00"/>
    <n v="576"/>
    <x v="0"/>
  </r>
  <r>
    <x v="36"/>
    <s v="Cloud Infra Audit"/>
    <d v="2025-04-01T00:00:00"/>
    <d v="2025-04-01T00:00:00"/>
    <d v="2026-12-31T00:00:00"/>
    <d v="2026-12-31T00:00:00"/>
    <m/>
    <d v="2026-12-31T00:00:00"/>
    <n v="639"/>
    <x v="0"/>
  </r>
  <r>
    <x v="37"/>
    <s v="Support SLA Tracker"/>
    <d v="2025-10-06T00:00:00"/>
    <d v="2025-10-06T00:00:00"/>
    <d v="2026-01-16T00:00:00"/>
    <d v="2026-01-16T00:00:00"/>
    <m/>
    <d v="2026-01-16T00:00:00"/>
    <n v="102"/>
    <x v="0"/>
  </r>
  <r>
    <x v="38"/>
    <s v="Data Cost Optimization"/>
    <d v="2025-09-29T00:00:00"/>
    <d v="2025-09-29T00:00:00"/>
    <d v="2026-10-15T00:00:00"/>
    <d v="2026-10-15T00:00:00"/>
    <m/>
    <d v="2026-10-15T00:00:00"/>
    <n v="381"/>
    <x v="0"/>
  </r>
  <r>
    <x v="39"/>
    <s v="Digital Campaign Tracker"/>
    <d v="2025-09-29T00:00:00"/>
    <d v="2025-09-29T00:00:00"/>
    <d v="2026-12-31T00:00:00"/>
    <d v="2026-12-31T00:00:00"/>
    <m/>
    <d v="2026-12-31T00:00:00"/>
    <n v="458"/>
    <x v="0"/>
  </r>
  <r>
    <x v="40"/>
    <s v="AI Knowledge Assistant"/>
    <d v="2025-09-29T00:00:00"/>
    <d v="2025-09-29T00:00:00"/>
    <d v="2026-12-31T00:00:00"/>
    <d v="2026-12-31T00:00:00"/>
    <m/>
    <d v="2026-12-31T00:00:00"/>
    <n v="458"/>
    <x v="0"/>
  </r>
  <r>
    <x v="41"/>
    <s v="QA Tool Evaluation"/>
    <d v="2025-09-15T00:00:00"/>
    <d v="2025-09-15T00:00:00"/>
    <d v="2026-02-28T00:00:00"/>
    <d v="2026-02-28T00:00:00"/>
    <m/>
    <d v="2026-02-28T00:00:00"/>
    <n v="166"/>
    <x v="0"/>
  </r>
  <r>
    <x v="42"/>
    <s v="Cloud Vendor Assessment"/>
    <d v="2025-09-15T00:00:00"/>
    <d v="2025-09-15T00:00:00"/>
    <d v="2026-12-31T00:00:00"/>
    <d v="2026-12-31T00:00:00"/>
    <m/>
    <d v="2026-12-31T00:00:00"/>
    <n v="472"/>
    <x v="0"/>
  </r>
  <r>
    <x v="43"/>
    <s v="Data Archival Strategy"/>
    <d v="2025-11-27T00:00:00"/>
    <d v="2025-11-27T00:00:00"/>
    <d v="2026-11-26T00:00:00"/>
    <d v="2026-11-26T00:00:00"/>
    <m/>
    <d v="2026-11-26T00:00:00"/>
    <n v="364"/>
    <x v="0"/>
  </r>
  <r>
    <x v="44"/>
    <s v="Digital Content Platform"/>
    <d v="2026-01-12T00:00:00"/>
    <d v="2026-01-12T00:00:00"/>
    <d v="2026-12-31T00:00:00"/>
    <d v="2026-12-31T00:00:00"/>
    <m/>
    <d v="2026-12-31T00:00:00"/>
    <n v="353"/>
    <x v="0"/>
  </r>
  <r>
    <x v="45"/>
    <s v="AI Testing Framework"/>
    <d v="2026-02-23T00:00:00"/>
    <d v="2026-02-23T00:00:00"/>
    <d v="2026-07-31T00:00:00"/>
    <d v="2026-07-31T00:00:00"/>
    <m/>
    <d v="2026-07-31T00:00:00"/>
    <n v="158"/>
    <x v="0"/>
  </r>
  <r>
    <x v="46"/>
    <s v="Support Load Analysis"/>
    <d v="2025-10-20T00:00:00"/>
    <d v="2025-10-20T00:00:00"/>
    <d v="2026-01-16T00:00:00"/>
    <d v="2026-01-16T00:00:00"/>
    <d v="2026-02-06T00:00:00"/>
    <d v="2026-02-06T00:00:00"/>
    <n v="109"/>
    <x v="0"/>
  </r>
  <r>
    <x v="47"/>
    <s v="Cloud Backup Automation"/>
    <d v="2026-01-01T00:00:00"/>
    <d v="2026-01-01T00:00:00"/>
    <n v="46171"/>
    <d v="2026-05-29T00:00:00"/>
    <m/>
    <d v="2026-05-29T00:00:00"/>
    <n v="148"/>
    <x v="0"/>
  </r>
  <r>
    <x v="48"/>
    <s v="Data Visualization Revamp"/>
    <d v="2025-09-12T00:00:00"/>
    <d v="2025-09-12T00:00:00"/>
    <d v="2026-10-31T00:00:00"/>
    <d v="2026-10-31T00:00:00"/>
    <m/>
    <d v="2026-10-31T00:00:00"/>
    <n v="414"/>
    <x v="0"/>
  </r>
  <r>
    <x v="49"/>
    <s v="Digital Workflow Automation"/>
    <d v="2025-10-15T00:00:00"/>
    <d v="2025-10-15T00:00:00"/>
    <d v="2026-12-09T00:00:00"/>
    <d v="2026-12-09T00:00:00"/>
    <d v="2026-01-15T00:00:00"/>
    <d v="2026-01-15T00:00:00"/>
    <n v="92"/>
    <x v="0"/>
  </r>
  <r>
    <x v="50"/>
    <s v="AI Document Analyzer"/>
    <d v="2025-10-01T00:00:00"/>
    <d v="2025-10-01T00:00:00"/>
    <d v="2025-12-31T00:00:00"/>
    <d v="2025-12-31T00:00:00"/>
    <d v="2026-03-31T00:00:00"/>
    <d v="2026-03-31T00:00:00"/>
    <n v="181"/>
    <x v="0"/>
  </r>
  <r>
    <x v="51"/>
    <s v="Cloud Access Review"/>
    <d v="2025-11-02T00:00:00"/>
    <d v="2025-11-02T00:00:00"/>
    <d v="2026-04-17T00:00:00"/>
    <d v="2026-04-17T00:00:00"/>
    <m/>
    <d v="2026-04-17T00:00:00"/>
    <n v="166"/>
    <x v="0"/>
  </r>
  <r>
    <x v="52"/>
    <s v="Digital Funnel Optimization"/>
    <d v="2025-05-16T00:00:00"/>
    <d v="2025-05-16T00:00:00"/>
    <d v="2026-08-08T00:00:00"/>
    <d v="2026-08-08T00:00:00"/>
    <m/>
    <d v="2026-08-08T00:00:00"/>
    <n v="449"/>
    <x v="0"/>
  </r>
  <r>
    <x v="53"/>
    <s v="QA Tool Migration"/>
    <d v="2025-05-16T00:00:00"/>
    <d v="2025-05-16T00:00:00"/>
    <d v="2026-05-30T00:00:00"/>
    <d v="2026-05-30T00:00:00"/>
    <m/>
    <d v="2026-05-30T00:00:00"/>
    <n v="379"/>
    <x v="0"/>
  </r>
  <r>
    <x v="54"/>
    <s v="Data Pipeline Stabilization"/>
    <d v="2025-06-16T00:00:00"/>
    <d v="2025-06-16T00:00:00"/>
    <d v="2026-09-26T00:00:00"/>
    <d v="2026-09-26T00:00:00"/>
    <m/>
    <d v="2026-09-26T00:00:00"/>
    <n v="467"/>
    <x v="0"/>
  </r>
  <r>
    <x v="55"/>
    <s v="AI Knowledge Search"/>
    <d v="2025-07-09T00:00:00"/>
    <d v="2025-07-09T00:00:00"/>
    <d v="2026-09-25T00:00:00"/>
    <d v="2026-09-25T00:00:00"/>
    <m/>
    <d v="2026-09-25T00:00:00"/>
    <n v="443"/>
    <x v="0"/>
  </r>
  <r>
    <x v="56"/>
    <s v="Cloud Log Monitoring"/>
    <d v="2025-07-04T00:00:00"/>
    <d v="2025-07-04T00:00:00"/>
    <d v="2026-08-17T00:00:00"/>
    <d v="2026-08-17T00:00:00"/>
    <m/>
    <d v="2026-08-17T00:00:00"/>
    <n v="409"/>
    <x v="0"/>
  </r>
  <r>
    <x v="57"/>
    <s v="Digital Asset Cleanup"/>
    <d v="2025-07-01T00:00:00"/>
    <d v="2025-07-01T00:00:00"/>
    <d v="2026-07-31T00:00:00"/>
    <d v="2026-07-31T00:00:00"/>
    <m/>
    <d v="2026-07-31T00:00:00"/>
    <n v="395"/>
    <x v="0"/>
  </r>
  <r>
    <x v="58"/>
    <s v="QA Automation Expansion"/>
    <n v="45810"/>
    <d v="2025-06-02T00:00:00"/>
    <d v="2026-07-21T00:00:00"/>
    <d v="2026-07-21T00:00:00"/>
    <m/>
    <d v="2026-07-21T00:00:00"/>
    <n v="414"/>
    <x v="0"/>
  </r>
  <r>
    <x v="59"/>
    <s v="AI Lead Scoring"/>
    <d v="2025-04-01T00:00:00"/>
    <d v="2025-04-01T00:00:00"/>
    <d v="2026-12-31T00:00:00"/>
    <d v="2026-12-31T00:00:00"/>
    <m/>
    <d v="2026-12-31T00:00:00"/>
    <n v="639"/>
    <x v="0"/>
  </r>
  <r>
    <x v="60"/>
    <s v="Data Mastering Program"/>
    <d v="2025-04-01T00:00:00"/>
    <d v="2025-04-01T00:00:00"/>
    <d v="2026-12-31T00:00:00"/>
    <d v="2026-12-31T00:00:00"/>
    <m/>
    <d v="2026-12-31T00:00:00"/>
    <n v="639"/>
    <x v="0"/>
  </r>
  <r>
    <x v="61"/>
    <s v="Cloud Patch Management"/>
    <d v="2026-01-27T00:00:00"/>
    <d v="2026-01-27T00:00:00"/>
    <d v="2026-04-24T00:00:00"/>
    <d v="2026-04-24T00:00:00"/>
    <m/>
    <d v="2026-04-24T00:00:00"/>
    <n v="87"/>
    <x v="1"/>
  </r>
  <r>
    <x v="62"/>
    <s v="Digital Payment Journey"/>
    <d v="2026-01-06T00:00:00"/>
    <d v="2026-01-06T00:00:00"/>
    <d v="2026-02-24T00:00:00"/>
    <d v="2026-02-24T00:00:00"/>
    <m/>
    <d v="2026-02-24T00:00:00"/>
    <n v="49"/>
    <x v="1"/>
  </r>
  <r>
    <x v="63"/>
    <s v="QA Performance Metrics"/>
    <d v="2025-07-01T00:00:00"/>
    <d v="2025-07-01T00:00:00"/>
    <d v="2026-12-31T00:00:00"/>
    <d v="2026-12-31T00:00:00"/>
    <d v="2026-02-06T00:00:00"/>
    <d v="2026-02-06T00:00:00"/>
    <n v="220"/>
    <x v="0"/>
  </r>
  <r>
    <x v="64"/>
    <s v="AI Risk Scoring Model"/>
    <d v="2026-03-02T00:00:00"/>
    <d v="2026-03-02T00:00:00"/>
    <s v="TBD"/>
    <s v="TBD"/>
    <m/>
    <s v="TBD"/>
    <s v=""/>
    <x v="2"/>
  </r>
  <r>
    <x v="65"/>
    <s v="Cloud Capacity Planning"/>
    <d v="2026-02-23T00:00:00"/>
    <d v="2026-02-23T00:00:00"/>
    <s v="TBD"/>
    <s v="TBD"/>
    <m/>
    <s v="TBD"/>
    <s v=""/>
    <x v="2"/>
  </r>
  <r>
    <x v="66"/>
    <s v="Data Reporting Cleanup"/>
    <d v="2026-02-16T00:00:00"/>
    <d v="2026-02-16T00:00:00"/>
    <d v="2026-03-13T00:00:00"/>
    <d v="2026-03-13T00:00:00"/>
    <m/>
    <d v="2026-03-13T00:00:00"/>
    <n v="25"/>
    <x v="1"/>
  </r>
  <r>
    <x v="67"/>
    <s v="Digital SEO Revamp"/>
    <d v="2026-03-02T00:00:00"/>
    <d v="2026-03-02T00:00:00"/>
    <d v="2026-04-10T00:00:00"/>
    <d v="2026-04-10T00:00:00"/>
    <m/>
    <d v="2026-04-10T00:00:00"/>
    <n v="39"/>
    <x v="1"/>
  </r>
  <r>
    <x v="68"/>
    <s v="QA Defect Analytics"/>
    <d v="2024-10-15T00:00:00"/>
    <d v="2024-10-15T00:00:00"/>
    <d v="2026-07-31T00:00:00"/>
    <d v="2026-07-31T00:00:00"/>
    <m/>
    <d v="2026-07-31T00:00:00"/>
    <n v="654"/>
    <x v="0"/>
  </r>
  <r>
    <x v="69"/>
    <s v="AI Chatbot Enhancement"/>
    <d v="2025-09-10T00:00:00"/>
    <d v="2025-09-10T00:00:00"/>
    <n v="46022"/>
    <d v="2025-12-31T00:00:00"/>
    <d v="2026-03-31T00:00:00"/>
    <d v="2026-03-31T00:00:00"/>
    <n v="202"/>
    <x v="0"/>
  </r>
  <r>
    <x v="70"/>
    <s v="Cloud API Gateway Setup"/>
    <d v="2025-01-29T00:00:00"/>
    <d v="2025-01-29T00:00:00"/>
    <d v="2026-08-15T00:00:00"/>
    <d v="2026-08-15T00:00:00"/>
    <m/>
    <d v="2026-08-15T00:00:00"/>
    <n v="563"/>
    <x v="0"/>
  </r>
  <r>
    <x v="71"/>
    <s v="Support Workflow Automation"/>
    <d v="2024-12-04T00:00:00"/>
    <d v="2024-12-04T00:00:00"/>
    <d v="2026-03-21T00:00:00"/>
    <d v="2026-03-21T00:00:00"/>
    <m/>
    <d v="2026-03-21T00:00:00"/>
    <n v="472"/>
    <x v="0"/>
  </r>
  <r>
    <x v="72"/>
    <s v="Data Compliance Audit"/>
    <d v="2025-01-15T00:00:00"/>
    <d v="2025-01-15T00:00:00"/>
    <d v="2026-04-15T00:00:00"/>
    <d v="2026-04-15T00:00:00"/>
    <m/>
    <d v="2026-04-15T00:00:00"/>
    <n v="455"/>
    <x v="0"/>
  </r>
  <r>
    <x v="73"/>
    <s v="Digital CMS Upgrade"/>
    <d v="2025-09-15T00:00:00"/>
    <d v="2025-09-15T00:00:00"/>
    <d v="2026-11-28T00:00:00"/>
    <d v="2026-11-28T00:00:00"/>
    <m/>
    <d v="2026-11-28T00:00:00"/>
    <n v="439"/>
    <x v="0"/>
  </r>
  <r>
    <x v="74"/>
    <s v="QA Release Readiness"/>
    <d v="2025-09-22T00:00:00"/>
    <d v="2025-09-22T00:00:00"/>
    <d v="2026-02-16T00:00:00"/>
    <d v="2026-02-16T00:00:00"/>
    <m/>
    <d v="2026-02-16T00:00:00"/>
    <n v="147"/>
    <x v="0"/>
  </r>
  <r>
    <x v="75"/>
    <s v="AI Customer Insights"/>
    <d v="2025-01-06T00:00:00"/>
    <d v="2025-01-06T00:00:00"/>
    <d v="2026-12-31T00:00:00"/>
    <d v="2026-12-31T00:00:00"/>
    <m/>
    <d v="2026-12-31T00:00:00"/>
    <n v="724"/>
    <x v="0"/>
  </r>
  <r>
    <x v="76"/>
    <s v="Cloud Resource Tagging"/>
    <d v="2025-07-23T00:00:00"/>
    <d v="2025-07-23T00:00:00"/>
    <d v="2026-01-26T00:00:00"/>
    <d v="2026-01-26T00:00:00"/>
    <d v="2026-03-30T00:00:00"/>
    <d v="2026-03-30T00:00:00"/>
    <n v="250"/>
    <x v="0"/>
  </r>
  <r>
    <x v="77"/>
    <s v="Support Capacity Analysis"/>
    <d v="2025-08-26T00:00:00"/>
    <d v="2025-08-26T00:00:00"/>
    <d v="2026-11-28T00:00:00"/>
    <d v="2026-11-28T00:00:00"/>
    <d v="2026-01-16T00:00:00"/>
    <d v="2026-01-16T00:00:00"/>
    <n v="143"/>
    <x v="0"/>
  </r>
  <r>
    <x v="78"/>
    <s v="Data Visualization Standards"/>
    <d v="2025-09-15T00:00:00"/>
    <d v="2025-09-15T00:00:00"/>
    <d v="2026-12-19T00:00:00"/>
    <d v="2026-12-19T00:00:00"/>
    <m/>
    <d v="2026-12-19T00:00:00"/>
    <n v="460"/>
    <x v="0"/>
  </r>
  <r>
    <x v="79"/>
    <s v="Digital Lead Dashboard"/>
    <d v="2025-06-12T00:00:00"/>
    <d v="2025-06-12T00:00:00"/>
    <d v="2026-08-15T00:00:00"/>
    <d v="2026-08-15T00:00:00"/>
    <m/>
    <d v="2026-08-15T00:00:00"/>
    <n v="429"/>
    <x v="0"/>
  </r>
  <r>
    <x v="80"/>
    <s v="AI Model Monitoring"/>
    <d v="2025-09-27T00:00:00"/>
    <d v="2025-09-27T00:00:00"/>
    <d v="2026-12-31T00:00:00"/>
    <d v="2026-12-31T00:00:00"/>
    <d v="2026-02-06T00:00:00"/>
    <d v="2026-02-06T00:00:00"/>
    <n v="132"/>
    <x v="0"/>
  </r>
  <r>
    <x v="81"/>
    <s v="QA Tool Rationalization"/>
    <d v="2024-08-15T00:00:00"/>
    <d v="2024-08-15T00:00:00"/>
    <s v="TBD"/>
    <s v="TBD"/>
    <m/>
    <s v="TBD"/>
    <s v=""/>
    <x v="2"/>
  </r>
  <r>
    <x v="82"/>
    <s v="Cloud DR Drill"/>
    <d v="2025-04-01T00:00:00"/>
    <d v="2025-04-01T00:00:00"/>
    <d v="2026-10-31T00:00:00"/>
    <d v="2026-10-31T00:00:00"/>
    <m/>
    <d v="2026-10-31T00:00:00"/>
    <n v="578"/>
    <x v="0"/>
  </r>
  <r>
    <x v="83"/>
    <s v="Digital UX Benchmarking"/>
    <s v="TBD"/>
    <s v="TBD"/>
    <s v="TBD"/>
    <s v="TBD"/>
    <m/>
    <s v="TBD"/>
    <s v=""/>
    <x v="2"/>
  </r>
  <r>
    <x v="84"/>
    <s v="Data Quality Scorecard"/>
    <d v="2024-05-16T00:00:00"/>
    <d v="2024-05-16T00:00:00"/>
    <d v="2026-08-28T00:00:00"/>
    <d v="2026-08-28T00:00:00"/>
    <m/>
    <d v="2026-08-28T00:00:00"/>
    <n v="834"/>
    <x v="0"/>
  </r>
  <r>
    <x v="85"/>
    <s v="AI Prompt Optimization"/>
    <s v="TBD"/>
    <s v="TBD"/>
    <s v="TBD"/>
    <s v="TBD"/>
    <m/>
    <s v="TBD"/>
    <s v=""/>
    <x v="2"/>
  </r>
  <r>
    <x v="86"/>
    <s v="Cloud FinOps Tracker"/>
    <d v="2025-05-26T00:00:00"/>
    <d v="2025-05-26T00:00:00"/>
    <d v="2025-12-31T00:00:00"/>
    <d v="2025-12-31T00:00:00"/>
    <d v="2026-10-17T00:00:00"/>
    <d v="2026-10-17T00:00:00"/>
    <n v="509"/>
    <x v="0"/>
  </r>
  <r>
    <x v="87"/>
    <s v="Support Chat Analytics"/>
    <d v="2025-03-25T00:00:00"/>
    <d v="2025-03-25T00:00:00"/>
    <d v="2026-06-13T00:00:00"/>
    <d v="2026-06-13T00:00:00"/>
    <m/>
    <d v="2026-06-13T00:00:00"/>
    <n v="445"/>
    <x v="0"/>
  </r>
  <r>
    <x v="88"/>
    <s v="Digital Conversion Analysis"/>
    <d v="2025-06-15T00:00:00"/>
    <d v="2025-06-15T00:00:00"/>
    <d v="2026-01-31T00:00:00"/>
    <d v="2026-01-31T00:00:00"/>
    <m/>
    <d v="2026-01-31T00:00:00"/>
    <n v="230"/>
    <x v="0"/>
  </r>
  <r>
    <x v="89"/>
    <s v="QA Environment Cleanup"/>
    <d v="2025-08-25T00:00:00"/>
    <d v="2025-08-25T00:00:00"/>
    <d v="2026-09-29T00:00:00"/>
    <d v="2026-09-29T00:00:00"/>
    <m/>
    <d v="2026-09-29T00:00:00"/>
    <n v="40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s v="EMP-001"/>
    <s v="emp001"/>
    <s v="Rohit Sharma"/>
    <d v="2022-01-01T00:00:00"/>
    <d v="2022-01-01T00:00:00"/>
    <s v="Sr. Consultant"/>
    <x v="0"/>
    <s v="FTE"/>
    <s v="PRJ-020"/>
    <s v="PRJ-065"/>
    <m/>
    <x v="0"/>
    <x v="0"/>
    <s v="2022-Q1"/>
  </r>
  <r>
    <s v="emp002"/>
    <s v="emp002"/>
    <s v="Anjali Verma"/>
    <d v="2021-02-15T00:00:00"/>
    <d v="2021-02-15T00:00:00"/>
    <s v="Manager"/>
    <x v="1"/>
    <s v="FTE"/>
    <s v="PRJ-029"/>
    <s v="PRJ-070"/>
    <m/>
    <x v="1"/>
    <x v="0"/>
    <s v="2021-Q1"/>
  </r>
  <r>
    <s v="EMP 003"/>
    <s v="emp003"/>
    <s v="Suresh Iyer"/>
    <d v="2020-07-10T00:00:00"/>
    <d v="2020-07-10T00:00:00"/>
    <s v="Lead Consultant"/>
    <x v="2"/>
    <s v="FTE"/>
    <s v="PRJ-007"/>
    <s v="PRJ-056"/>
    <m/>
    <x v="2"/>
    <x v="1"/>
    <s v="2020-Q3"/>
  </r>
  <r>
    <s v="EMP-004"/>
    <s v="emp004"/>
    <s v="Megha Jain"/>
    <s v="03-15-2019"/>
    <d v="2019-03-15T00:00:00"/>
    <s v="Consultant"/>
    <x v="1"/>
    <s v="FTE"/>
    <s v="PRJ-040"/>
    <s v="PRJ-053"/>
    <m/>
    <x v="3"/>
    <x v="0"/>
    <s v="2019-Q1"/>
  </r>
  <r>
    <s v="EMP005"/>
    <s v="emp005"/>
    <s v="Neha Malhotra"/>
    <d v="2023-04-01T00:00:00"/>
    <d v="2023-04-01T00:00:00"/>
    <s v="Senior Consultant"/>
    <x v="0"/>
    <s v="FTE"/>
    <s v="PRJ-012"/>
    <s v="PRJ-067_x000a_"/>
    <s v="PRJ-085"/>
    <x v="4"/>
    <x v="2"/>
    <s v="2023-Q2"/>
  </r>
  <r>
    <s v="EMP-006"/>
    <s v="emp006"/>
    <s v="Rahul Mehta"/>
    <d v="2018-11-01T00:00:00"/>
    <d v="2018-11-01T00:00:00"/>
    <s v="Principal Consultant"/>
    <x v="2"/>
    <s v="FTE"/>
    <s v="PRJ-011"/>
    <s v="PRJ-065"/>
    <m/>
    <x v="5"/>
    <x v="3"/>
    <s v="2018-Q4"/>
  </r>
  <r>
    <s v="emp-007"/>
    <s v="emp007"/>
    <s v="Priya Nair"/>
    <d v="2017-06-12T00:00:00"/>
    <d v="2017-06-12T00:00:00"/>
    <s v="Consultant"/>
    <x v="1"/>
    <s v="FTE"/>
    <s v="PRJ-023"/>
    <m/>
    <m/>
    <x v="6"/>
    <x v="2"/>
    <s v="2017-Q2"/>
  </r>
  <r>
    <s v="EMP008"/>
    <s v="emp008"/>
    <s v="Vikram Singh"/>
    <s v="07.08.2020"/>
    <d v="2020-07-08T00:00:00"/>
    <s v="Consultant"/>
    <x v="0"/>
    <s v="FTE"/>
    <s v="PRJ-013"/>
    <s v="PRJ-051"/>
    <m/>
    <x v="2"/>
    <x v="1"/>
    <s v="2020-Q3"/>
  </r>
  <r>
    <s v="EMP-009"/>
    <s v="emp009"/>
    <s v="Karan Ahuja          "/>
    <d v="2022-01-10T00:00:00"/>
    <d v="2022-01-10T00:00:00"/>
    <s v="Analyst"/>
    <x v="0"/>
    <s v="Intern"/>
    <s v="PRJ-004"/>
    <m/>
    <m/>
    <x v="0"/>
    <x v="0"/>
    <s v="2022-Q1"/>
  </r>
  <r>
    <s v="EMP-010"/>
    <s v="emp010"/>
    <s v="Pooja Kulkarni"/>
    <d v="2025-01-16T00:00:00"/>
    <d v="2025-01-16T00:00:00"/>
    <s v="Consultant"/>
    <x v="2"/>
    <s v="Intern"/>
    <s v="PRJ-030"/>
    <m/>
    <m/>
    <x v="7"/>
    <x v="0"/>
    <s v="2025-Q1"/>
  </r>
  <r>
    <s v="EMP011"/>
    <s v="emp011"/>
    <s v="Aman Gupta"/>
    <d v="2019-09-05T00:00:00"/>
    <d v="2019-09-05T00:00:00"/>
    <s v="Consultant"/>
    <x v="1"/>
    <s v="FTE"/>
    <s v="PRJ-045"/>
    <s v="PRJ-060"/>
    <m/>
    <x v="3"/>
    <x v="1"/>
    <s v="2019-Q3"/>
  </r>
  <r>
    <s v="EMP-012"/>
    <s v="emp012"/>
    <s v="Sneha Rao"/>
    <d v="2021-03-05T00:00:00"/>
    <d v="2021-03-05T00:00:00"/>
    <s v="Analyst"/>
    <x v="0"/>
    <s v="Intern"/>
    <s v="PRJ-033"/>
    <m/>
    <m/>
    <x v="1"/>
    <x v="0"/>
    <s v="2021-Q1"/>
  </r>
  <r>
    <s v="emp013"/>
    <s v="emp013"/>
    <s v="Rakesh Kumar"/>
    <d v="2024-01-10T00:00:00"/>
    <d v="2024-01-10T00:00:00"/>
    <s v="Sr. Consultant"/>
    <x v="2"/>
    <s v="FTE"/>
    <s v="PRJ-016"/>
    <s v="PRJ-060"/>
    <m/>
    <x v="8"/>
    <x v="0"/>
    <s v="2024-Q1"/>
  </r>
  <r>
    <s v="EMP 014"/>
    <s v="emp014"/>
    <s v="Kavita Joshi"/>
    <d v="2017-02-14T00:00:00"/>
    <d v="2017-02-14T00:00:00"/>
    <s v="Consultant"/>
    <x v="1"/>
    <s v="FTE"/>
    <s v="PRJ-005"/>
    <s v="PRJ-080"/>
    <m/>
    <x v="6"/>
    <x v="0"/>
    <s v="2017-Q1"/>
  </r>
  <r>
    <s v="EMP-015"/>
    <s v="emp015"/>
    <s v="Nitin Arora"/>
    <s v="01.06.2020"/>
    <d v="2020-01-06T00:00:00"/>
    <s v="Lead Consultant"/>
    <x v="0"/>
    <s v="FTE"/>
    <s v="PRJ-004"/>
    <s v="PRJ-076"/>
    <s v="PRJ-078"/>
    <x v="2"/>
    <x v="0"/>
    <s v="2020-Q1"/>
  </r>
  <r>
    <s v="emp016"/>
    <s v="emp016"/>
    <s v="Pankaj Mishra"/>
    <d v="2016-12-01T00:00:00"/>
    <d v="2016-12-01T00:00:00"/>
    <s v="Analyst"/>
    <x v="2"/>
    <s v="FTE"/>
    <s v="PRJ-016"/>
    <s v="PRJ-070_x000a_"/>
    <m/>
    <x v="9"/>
    <x v="3"/>
    <s v="2016-Q4"/>
  </r>
  <r>
    <s v="EMP-017"/>
    <s v="emp017"/>
    <s v="Swati Kulkarni"/>
    <d v="2021-08-15T00:00:00"/>
    <d v="2021-08-15T00:00:00"/>
    <s v="Consultant"/>
    <x v="1"/>
    <s v="FTE"/>
    <s v="PRJ-001"/>
    <s v="PRJ-053"/>
    <m/>
    <x v="1"/>
    <x v="1"/>
    <s v="2021-Q3"/>
  </r>
  <r>
    <s v="EMP018"/>
    <s v="emp018"/>
    <s v="Arjun Mehta"/>
    <d v="2022-03-01T00:00:00"/>
    <d v="2022-03-01T00:00:00"/>
    <s v="Analyst"/>
    <x v="0"/>
    <s v="Intern"/>
    <s v="PRJ-028"/>
    <m/>
    <m/>
    <x v="0"/>
    <x v="0"/>
    <s v="2022-Q1"/>
  </r>
  <r>
    <s v="EMP-019"/>
    <s v="emp019"/>
    <s v="Isha Kapoor"/>
    <d v="2020-10-19T00:00:00"/>
    <d v="2020-10-19T00:00:00"/>
    <s v="Consultant"/>
    <x v="2"/>
    <s v="FTE"/>
    <s v="PRJ-007"/>
    <s v="PRJ-051"/>
    <m/>
    <x v="2"/>
    <x v="3"/>
    <s v="2020-Q4"/>
  </r>
  <r>
    <s v="EMP020"/>
    <s v="emp020"/>
    <s v="Mohit Bansal"/>
    <d v="2019-07-22T00:00:00"/>
    <d v="2019-07-22T00:00:00"/>
    <s v="Senior Consultant"/>
    <x v="1"/>
    <s v="FTE"/>
    <s v="PRJ-025"/>
    <s v="PRJ-063"/>
    <s v="PRJ-084"/>
    <x v="3"/>
    <x v="1"/>
    <s v="2019-Q3"/>
  </r>
  <r>
    <s v="emp021"/>
    <s v="emp021"/>
    <s v="Nisha Jain"/>
    <d v="2021-01-11T00:00:00"/>
    <d v="2021-01-11T00:00:00"/>
    <s v="Analyst"/>
    <x v="0"/>
    <s v="Intern"/>
    <s v="PRJ-020"/>
    <m/>
    <m/>
    <x v="1"/>
    <x v="0"/>
    <s v="2021-Q1"/>
  </r>
  <r>
    <s v="EMP-022"/>
    <s v="emp022"/>
    <s v="Varun Malhotra"/>
    <s v="2018.04.03"/>
    <d v="2018-04-03T00:00:00"/>
    <s v="Consultant"/>
    <x v="2"/>
    <s v="FTE"/>
    <s v="PRJ-036"/>
    <s v="PRJ-081"/>
    <m/>
    <x v="5"/>
    <x v="2"/>
    <s v="2018-Q2"/>
  </r>
  <r>
    <s v="EMP 023"/>
    <s v="emp023"/>
    <s v="Ritu Saxena"/>
    <d v="2017-05-29T00:00:00"/>
    <d v="2017-05-29T00:00:00"/>
    <s v="Lead Consultant"/>
    <x v="1"/>
    <s v="FTE"/>
    <s v="PRJ-010"/>
    <s v="PRJ-074"/>
    <m/>
    <x v="6"/>
    <x v="2"/>
    <s v="2017-Q2"/>
  </r>
  <r>
    <s v="EMP-024"/>
    <s v="emp024"/>
    <s v="Akash Verma"/>
    <d v="2022-09-01T00:00:00"/>
    <d v="2022-09-01T00:00:00"/>
    <s v="Analyst"/>
    <x v="0"/>
    <s v="FTE"/>
    <s v="PRJ-023"/>
    <s v="PRJ-061"/>
    <m/>
    <x v="0"/>
    <x v="1"/>
    <s v="2022-Q3"/>
  </r>
  <r>
    <s v="EMP025"/>
    <s v="emp025"/>
    <s v="Pooja Shah"/>
    <d v="2020-02-17T00:00:00"/>
    <d v="2020-02-17T00:00:00"/>
    <s v="Consultant"/>
    <x v="2"/>
    <s v="FTE"/>
    <s v="PRJ-002"/>
    <s v="PRJ-070"/>
    <m/>
    <x v="2"/>
    <x v="0"/>
    <s v="2020-Q1"/>
  </r>
  <r>
    <s v="emp026"/>
    <s v="emp026"/>
    <s v="Kunal Desai"/>
    <d v="2016-03-10T00:00:00"/>
    <d v="2016-03-10T00:00:00"/>
    <s v="Senior Consultant"/>
    <x v="1"/>
    <s v="Freelancer"/>
    <s v="PRJ-013"/>
    <m/>
    <m/>
    <x v="9"/>
    <x v="0"/>
    <s v="2016-Q1"/>
  </r>
  <r>
    <s v="EMP-027"/>
    <s v="emp027"/>
    <s v="Aditi Chawla"/>
    <d v="2019-11-08T00:00:00"/>
    <d v="2019-11-08T00:00:00"/>
    <s v="Consultant"/>
    <x v="0"/>
    <s v="FTE"/>
    <s v="PRJ-007"/>
    <s v="PRJ-055"/>
    <m/>
    <x v="3"/>
    <x v="3"/>
    <s v="2019-Q4"/>
  </r>
  <r>
    <s v="EMP028"/>
    <s v="emp028"/>
    <s v="Sarthak Jain"/>
    <d v="2021-06-14T00:00:00"/>
    <d v="2021-06-14T00:00:00"/>
    <s v="Analyst"/>
    <x v="2"/>
    <s v="Intern"/>
    <s v="PRJ-036"/>
    <s v="PRJ-086"/>
    <m/>
    <x v="1"/>
    <x v="2"/>
    <s v="2021-Q2"/>
  </r>
  <r>
    <s v="EMP-029"/>
    <s v="emp029"/>
    <s v="Manish Gupta"/>
    <d v="2018-08-21T00:00:00"/>
    <d v="2018-08-21T00:00:00"/>
    <s v="Lead Consultant"/>
    <x v="1"/>
    <s v="FTE"/>
    <s v="PRJ-015"/>
    <s v="PRJ-063"/>
    <m/>
    <x v="5"/>
    <x v="1"/>
    <s v="2018-Q3"/>
  </r>
  <r>
    <s v="EMP030"/>
    <s v="emp030"/>
    <s v="Riya Khanna"/>
    <d v="2022-12-05T00:00:00"/>
    <d v="2022-12-05T00:00:00"/>
    <s v="Analyst"/>
    <x v="0"/>
    <s v="Intern"/>
    <s v="PRJ-021"/>
    <m/>
    <m/>
    <x v="0"/>
    <x v="3"/>
    <s v="2022-Q4"/>
  </r>
  <r>
    <s v="emp031"/>
    <s v="emp031"/>
    <s v="Deepak Yadav"/>
    <d v="2017-04-18T00:00:00"/>
    <d v="2017-04-18T00:00:00"/>
    <s v="Consultant"/>
    <x v="2"/>
    <s v="Freelancer"/>
    <s v="PRJ-011"/>
    <s v="PRJ-076"/>
    <m/>
    <x v="6"/>
    <x v="2"/>
    <s v="2017-Q2"/>
  </r>
  <r>
    <s v="EMP-032"/>
    <s v="emp032"/>
    <s v="Shalini Mehra"/>
    <d v="2019-01-27T00:00:00"/>
    <d v="2019-01-27T00:00:00"/>
    <s v="Senior Consultant"/>
    <x v="1"/>
    <s v="FTE"/>
    <s v="PRJ-050"/>
    <s v="PRJ-058"/>
    <m/>
    <x v="3"/>
    <x v="0"/>
    <s v="2019-Q1"/>
  </r>
  <r>
    <s v="EMP 033"/>
    <s v="emp033"/>
    <s v="Vikas Pandey"/>
    <s v="2016.06.09"/>
    <d v="2016-06-09T00:00:00"/>
    <s v="Consultant"/>
    <x v="0"/>
    <s v="Freelancer"/>
    <s v="PRJ-012"/>
    <m/>
    <m/>
    <x v="9"/>
    <x v="2"/>
    <s v="2016-Q2"/>
  </r>
  <r>
    <s v="EMP-034"/>
    <s v="emp034"/>
    <s v="Tanya Arora"/>
    <d v="2020-05-13T00:00:00"/>
    <d v="2020-05-13T00:00:00"/>
    <s v="Analyst"/>
    <x v="2"/>
    <s v="Intern"/>
    <s v="PRJ-041"/>
    <s v="PRJ-081"/>
    <m/>
    <x v="2"/>
    <x v="2"/>
    <s v="2020-Q2"/>
  </r>
  <r>
    <s v="EMP035"/>
    <s v="emp035"/>
    <s v="Abhishek Sen"/>
    <d v="2021-10-30T00:00:00"/>
    <d v="2021-10-30T00:00:00"/>
    <s v="Consultant"/>
    <x v="1"/>
    <s v="FTE"/>
    <s v="PRJ-034"/>
    <s v="PRJ-089"/>
    <m/>
    <x v="1"/>
    <x v="3"/>
    <s v="2021-Q4"/>
  </r>
  <r>
    <s v="emp036"/>
    <s v="emp036"/>
    <s v="Meenal Kulkarni"/>
    <d v="2018-02-16T00:00:00"/>
    <d v="2018-02-16T00:00:00"/>
    <s v="Lead Consultant"/>
    <x v="0"/>
    <s v="FTE"/>
    <s v="PRJ-030"/>
    <s v="PRJ-071"/>
    <s v="PRJ-079"/>
    <x v="5"/>
    <x v="0"/>
    <s v="2018-Q1"/>
  </r>
  <r>
    <s v="EMP-037"/>
    <s v="emp037"/>
    <s v="Rohan Iyer"/>
    <d v="2019-09-09T00:00:00"/>
    <d v="2019-09-09T00:00:00"/>
    <s v="Consultant"/>
    <x v="2"/>
    <s v="FTE"/>
    <s v="PRJ-002"/>
    <s v="PRJ-056"/>
    <m/>
    <x v="3"/>
    <x v="1"/>
    <s v="2019-Q3"/>
  </r>
  <r>
    <s v="EMP038"/>
    <s v="emp038"/>
    <s v="Simran Kaur"/>
    <d v="2022-01-24T00:00:00"/>
    <d v="2022-01-24T00:00:00"/>
    <s v="Analyst"/>
    <x v="1"/>
    <s v="Intern"/>
    <s v="PRJ-040"/>
    <m/>
    <m/>
    <x v="0"/>
    <x v="0"/>
    <s v="2022-Q1"/>
  </r>
  <r>
    <s v="EMP-039"/>
    <s v="emp039"/>
    <s v="Gaurav Bhatia"/>
    <d v="2015-11-03T00:00:00"/>
    <d v="2015-11-03T00:00:00"/>
    <s v="Senior Consultant"/>
    <x v="0"/>
    <s v="Freelancer"/>
    <s v="PRJ-002"/>
    <s v="PRJ-088"/>
    <m/>
    <x v="10"/>
    <x v="3"/>
    <s v="2015-Q4"/>
  </r>
  <r>
    <s v="EMP040"/>
    <s v="emp040"/>
    <s v="Nivedita Roy"/>
    <s v="2020.03.18"/>
    <d v="2020-03-18T00:00:00"/>
    <s v="Consultant"/>
    <x v="2"/>
    <s v="FTE"/>
    <s v="PRJ-025"/>
    <s v="PRJ-086"/>
    <m/>
    <x v="2"/>
    <x v="0"/>
    <s v="2020-Q1"/>
  </r>
  <r>
    <s v="emp041"/>
    <s v="emp041"/>
    <s v="Shubham Agarwal"/>
    <d v="2021-07-07T00:00:00"/>
    <d v="2021-07-07T00:00:00"/>
    <s v="Analyst"/>
    <x v="1"/>
    <s v="Intern"/>
    <s v="PRJ-025"/>
    <m/>
    <m/>
    <x v="1"/>
    <x v="1"/>
    <s v="2021-Q3"/>
  </r>
  <r>
    <s v="EMP-042"/>
    <s v="emp042"/>
    <s v="Pallavi Deshpande"/>
    <d v="2019-12-15T00:00:00"/>
    <d v="2019-12-15T00:00:00"/>
    <s v="Consultant"/>
    <x v="0"/>
    <s v="FTE"/>
    <s v="PRJ-016"/>
    <s v="PRJ-067"/>
    <m/>
    <x v="3"/>
    <x v="3"/>
    <s v="2019-Q4"/>
  </r>
  <r>
    <s v="EMP 043"/>
    <s v="emp043"/>
    <s v="Harish Nair"/>
    <d v="2016-01-20T00:00:00"/>
    <d v="2016-01-20T00:00:00"/>
    <s v="Lead Consultant"/>
    <x v="2"/>
    <s v="Freelancer"/>
    <s v="PRJ-025"/>
    <s v="PRJ-072"/>
    <m/>
    <x v="9"/>
    <x v="0"/>
    <s v="2016-Q1"/>
  </r>
  <r>
    <s v="EMP-044"/>
    <s v="emp044"/>
    <s v="Komal Srivastava"/>
    <s v="11th dec 2024"/>
    <d v="2024-12-11T00:00:00"/>
    <s v="Consultant"/>
    <x v="1"/>
    <s v="FTE"/>
    <s v="PRJ-010"/>
    <m/>
    <m/>
    <x v="8"/>
    <x v="3"/>
    <s v="2024-Q4"/>
  </r>
  <r>
    <s v="EMP045"/>
    <s v="emp045"/>
    <s v="Siddharth Bose"/>
    <d v="2018-05-06T00:00:00"/>
    <d v="2018-05-06T00:00:00"/>
    <s v="Sr Consultant"/>
    <x v="0"/>
    <s v="FTE"/>
    <s v="PRJ-033"/>
    <s v="PRJ-080"/>
    <m/>
    <x v="5"/>
    <x v="2"/>
    <s v="2018-Q2"/>
  </r>
  <r>
    <s v="emp046"/>
    <s v="emp046"/>
    <s v="Neetu Sharma"/>
    <d v="2022-04-02T00:00:00"/>
    <d v="2022-04-02T00:00:00"/>
    <s v="Analyst"/>
    <x v="2"/>
    <s v="Intern"/>
    <s v="PRJ-031"/>
    <s v="PRJ-060"/>
    <m/>
    <x v="0"/>
    <x v="2"/>
    <s v="2022-Q2"/>
  </r>
  <r>
    <s v="EMP-047"/>
    <s v="emp047"/>
    <s v="Pranav Kulkarni"/>
    <d v="2017-10-28T00:00:00"/>
    <d v="2017-10-28T00:00:00"/>
    <s v="Consultant"/>
    <x v="1"/>
    <s v="Freelancer"/>
    <s v="PRJ-006"/>
    <s v="PRJ-068"/>
    <m/>
    <x v="6"/>
    <x v="3"/>
    <s v="2017-Q4"/>
  </r>
  <r>
    <s v="EMP048"/>
    <s v="emp048"/>
    <s v="Ayesha Khan"/>
    <d v="2019-06-01T00:00:00"/>
    <d v="2019-06-01T00:00:00"/>
    <s v="Analyst"/>
    <x v="0"/>
    <s v="FTE"/>
    <s v="PRJ-026"/>
    <s v="PRJ-069"/>
    <m/>
    <x v="3"/>
    <x v="2"/>
    <s v="2019-Q2"/>
  </r>
  <r>
    <s v="EMP-049"/>
    <s v="emp049"/>
    <s v="Sanjay Pillai"/>
    <d v="2015-02-14T00:00:00"/>
    <d v="2015-02-14T00:00:00"/>
    <s v="Principal Consultant"/>
    <x v="2"/>
    <s v="Freelancer"/>
    <s v="PRJ-021"/>
    <s v="PRJ-051"/>
    <m/>
    <x v="10"/>
    <x v="0"/>
    <s v="2015-Q1"/>
  </r>
  <r>
    <s v="EMP050"/>
    <s v="emp050"/>
    <s v="Ruchi Malhotra"/>
    <s v="09th jan 2023"/>
    <d v="2023-01-09T00:00:00"/>
    <s v="Analyst"/>
    <x v="1"/>
    <s v="Intern"/>
    <s v="PRJ-015"/>
    <m/>
    <m/>
    <x v="4"/>
    <x v="0"/>
    <s v="2023-Q1"/>
  </r>
  <r>
    <s v="EMP051"/>
    <s v="emp051"/>
    <s v="Aarav Mehta"/>
    <d v="2019-03-12T00:00:00"/>
    <d v="2019-03-12T00:00:00"/>
    <s v="Consultant"/>
    <x v="3"/>
    <s v="FTE"/>
    <s v="PRJ-010"/>
    <s v="PRJ-069 "/>
    <m/>
    <x v="3"/>
    <x v="0"/>
    <s v="2019-Q1"/>
  </r>
  <r>
    <s v="emp052"/>
    <s v="emp052"/>
    <s v="Nupur Shah"/>
    <d v="2020-04-12T00:00:00"/>
    <d v="2020-04-12T00:00:00"/>
    <s v="Analyst"/>
    <x v="4"/>
    <s v="Intern"/>
    <s v="PRJ-006"/>
    <m/>
    <m/>
    <x v="2"/>
    <x v="2"/>
    <s v="2020-Q2"/>
  </r>
  <r>
    <s v="EMP 053"/>
    <s v="emp053"/>
    <s v="Siddhant Rao"/>
    <d v="2018-07-01T00:00:00"/>
    <d v="2018-07-01T00:00:00"/>
    <s v="Senior Consultant"/>
    <x v="5"/>
    <s v="FTE"/>
    <s v="PRJ-013"/>
    <s v="PRJ-077"/>
    <m/>
    <x v="5"/>
    <x v="1"/>
    <s v="2018-Q3"/>
  </r>
  <r>
    <s v="EMP-054"/>
    <s v="emp054"/>
    <s v="Kavya Nair"/>
    <d v="2021-09-01T00:00:00"/>
    <d v="2021-09-01T00:00:00"/>
    <s v="Consultant"/>
    <x v="3"/>
    <s v="FTE"/>
    <s v="PRJ-005"/>
    <s v="PRJ-059"/>
    <m/>
    <x v="1"/>
    <x v="1"/>
    <s v="2021-Q3"/>
  </r>
  <r>
    <s v="EMP055"/>
    <s v="emp055"/>
    <s v="Harshit Gupta"/>
    <d v="2017-11-15T00:00:00"/>
    <d v="2017-11-15T00:00:00"/>
    <s v="Lead Consultant"/>
    <x v="6"/>
    <s v="FTE"/>
    <s v="PRJ-009"/>
    <s v="PRJ-052"/>
    <m/>
    <x v="6"/>
    <x v="3"/>
    <s v="2017-Q4"/>
  </r>
  <r>
    <s v="emp056"/>
    <s v="emp056"/>
    <s v="Rohan Kulkarni"/>
    <d v="2016-02-20T00:00:00"/>
    <d v="2016-02-20T00:00:00"/>
    <s v="Consultant"/>
    <x v="7"/>
    <s v="FTE"/>
    <s v="PRJ-017"/>
    <s v="PRJ-056"/>
    <m/>
    <x v="9"/>
    <x v="0"/>
    <s v="2016-Q1"/>
  </r>
  <r>
    <s v="EMP-057"/>
    <s v="emp057"/>
    <s v="Pritam Das"/>
    <s v="2019.05.09"/>
    <d v="2019-05-09T00:00:00"/>
    <s v="Analyst"/>
    <x v="4"/>
    <s v="FTE"/>
    <s v="PRJ-006"/>
    <s v="PRJ-084"/>
    <m/>
    <x v="3"/>
    <x v="2"/>
    <s v="2019-Q2"/>
  </r>
  <r>
    <s v="EMP058"/>
    <s v="emp058"/>
    <s v="Shreya Malhotra"/>
    <d v="2020-08-17T00:00:00"/>
    <d v="2020-08-17T00:00:00"/>
    <s v="Consultant"/>
    <x v="3"/>
    <s v="FTE"/>
    <s v="PRJ-001"/>
    <s v="PRJ-064"/>
    <m/>
    <x v="2"/>
    <x v="1"/>
    <s v="2020-Q3"/>
  </r>
  <r>
    <s v="EMP 059"/>
    <s v="emp059"/>
    <s v="Kunal Verma"/>
    <d v="2018-01-25T00:00:00"/>
    <d v="2018-01-25T00:00:00"/>
    <s v="Sr Consultant"/>
    <x v="5"/>
    <s v="FTE"/>
    <s v="PRJ-026"/>
    <s v="PRJ-064"/>
    <s v="PRJ-087"/>
    <x v="5"/>
    <x v="0"/>
    <s v="2018-Q1"/>
  </r>
  <r>
    <s v="EMP-060"/>
    <s v="emp060"/>
    <s v="Ritu Agarwal"/>
    <d v="2021-06-14T00:00:00"/>
    <d v="2021-06-14T00:00:00"/>
    <s v="Analyst"/>
    <x v="4"/>
    <s v="FTE"/>
    <s v="PRJ-018"/>
    <s v="PRJ-058"/>
    <m/>
    <x v="1"/>
    <x v="2"/>
    <s v="2021-Q2"/>
  </r>
  <r>
    <s v="emp061"/>
    <s v="emp061"/>
    <s v="Mohan Iyer"/>
    <d v="2017-09-03T00:00:00"/>
    <d v="2017-09-03T00:00:00"/>
    <s v="Consultant"/>
    <x v="6"/>
    <s v="FTE"/>
    <s v="PRJ-022"/>
    <s v="PRJ-081"/>
    <m/>
    <x v="6"/>
    <x v="1"/>
    <s v="2017-Q3"/>
  </r>
  <r>
    <s v="EMP062"/>
    <s v="emp062"/>
    <s v="Tanya Bose"/>
    <d v="2019-12-11T00:00:00"/>
    <d v="2019-12-11T00:00:00"/>
    <s v="Consultant"/>
    <x v="7"/>
    <s v="FTE"/>
    <s v="PRJ-024"/>
    <s v="PRJ-078"/>
    <m/>
    <x v="3"/>
    <x v="3"/>
    <s v="2019-Q4"/>
  </r>
  <r>
    <s v="EMP-063"/>
    <s v="emp063"/>
    <s v="Aditya Kapoor"/>
    <d v="2016-04-19T00:00:00"/>
    <d v="2016-04-19T00:00:00"/>
    <s v="Lead Consultant"/>
    <x v="3"/>
    <s v="FTE"/>
    <s v="PRJ-019"/>
    <s v="PRJ-052"/>
    <s v="PRJ-059"/>
    <x v="9"/>
    <x v="2"/>
    <s v="2016-Q2"/>
  </r>
  <r>
    <s v="EMP064"/>
    <s v="emp064"/>
    <s v="Neelam Singh"/>
    <d v="2022-02-07T00:00:00"/>
    <d v="2022-02-07T00:00:00"/>
    <s v="Analyst"/>
    <x v="4"/>
    <s v="Intern"/>
    <s v="PRJ-011"/>
    <m/>
    <m/>
    <x v="0"/>
    <x v="0"/>
    <s v="2022-Q1"/>
  </r>
  <r>
    <s v="EMP 065"/>
    <s v="emp065"/>
    <s v="Varsha Kulkarni"/>
    <s v="2018.10.22"/>
    <d v="2018-10-22T00:00:00"/>
    <s v="Consultant"/>
    <x v="5"/>
    <s v="FTE"/>
    <s v="PRJ-009"/>
    <s v="PRJ-082"/>
    <m/>
    <x v="5"/>
    <x v="3"/>
    <s v="2018-Q4"/>
  </r>
  <r>
    <s v="EMP-066"/>
    <s v="emp066"/>
    <s v="Aman Choudhary"/>
    <d v="2020-01-30T00:00:00"/>
    <d v="2020-01-30T00:00:00"/>
    <s v="Sr Consultant"/>
    <x v="6"/>
    <s v="FTE"/>
    <s v="PRJ-020"/>
    <s v="PRJ-066"/>
    <s v="PRJ-077"/>
    <x v="2"/>
    <x v="0"/>
    <s v="2020-Q1"/>
  </r>
  <r>
    <s v="emp067"/>
    <s v="emp067"/>
    <s v="Poonam Tiwari"/>
    <d v="2019-06-05T00:00:00"/>
    <d v="2019-06-05T00:00:00"/>
    <s v="Consultant"/>
    <x v="7"/>
    <s v="FTE"/>
    <s v="PRJ-031"/>
    <m/>
    <m/>
    <x v="3"/>
    <x v="2"/>
    <s v="2019-Q2"/>
  </r>
  <r>
    <s v="EMP068"/>
    <s v="emp068"/>
    <s v="Yash Bansal"/>
    <d v="2021-03-18T00:00:00"/>
    <d v="2021-03-18T00:00:00"/>
    <s v="Analyst"/>
    <x v="3"/>
    <s v="Intern"/>
    <s v="PRJ-016"/>
    <m/>
    <m/>
    <x v="1"/>
    <x v="0"/>
    <s v="2021-Q1"/>
  </r>
  <r>
    <s v="EMP-069"/>
    <s v="emp069"/>
    <s v="Nikhil Arora"/>
    <d v="2017-07-27T00:00:00"/>
    <d v="2017-07-27T00:00:00"/>
    <s v="Consultant"/>
    <x v="4"/>
    <s v="FTE"/>
    <s v="PRJ-001"/>
    <s v="PRJ-053"/>
    <m/>
    <x v="6"/>
    <x v="1"/>
    <s v="2017-Q3"/>
  </r>
  <r>
    <s v="EMP070"/>
    <s v="emp070"/>
    <s v="Rashi Malhotra"/>
    <d v="2022-05-11T00:00:00"/>
    <d v="2022-05-11T00:00:00"/>
    <s v="Analyst"/>
    <x v="5"/>
    <s v="Intern"/>
    <s v="PRJ-037"/>
    <m/>
    <m/>
    <x v="0"/>
    <x v="2"/>
    <s v="2022-Q2"/>
  </r>
  <r>
    <s v="emp071"/>
    <s v="emp071"/>
    <s v="Abhinav Jain"/>
    <d v="2016-09-14T00:00:00"/>
    <d v="2016-09-14T00:00:00"/>
    <s v="Lead Consultant"/>
    <x v="6"/>
    <s v="FTE"/>
    <s v="PRJ-038"/>
    <s v="PRJ-071"/>
    <m/>
    <x v="9"/>
    <x v="1"/>
    <s v="2016-Q3"/>
  </r>
  <r>
    <s v="EMP072"/>
    <s v="emp072"/>
    <s v="Komal Vyas"/>
    <d v="2018-12-03T00:00:00"/>
    <d v="2018-12-03T00:00:00"/>
    <s v="Consultant"/>
    <x v="3"/>
    <s v="FTE"/>
    <s v="PRJ-019"/>
    <s v="PRJ-075"/>
    <m/>
    <x v="5"/>
    <x v="3"/>
    <s v="2018-Q4"/>
  </r>
  <r>
    <s v="EMP 073"/>
    <s v="emp073"/>
    <s v="Parth Shah"/>
    <d v="2019-04-26T00:00:00"/>
    <d v="2019-04-26T00:00:00"/>
    <s v="Sr Consultant"/>
    <x v="4"/>
    <s v="FTE"/>
    <s v="PRJ-027"/>
    <s v="PRJ-074"/>
    <s v="PRJ-079"/>
    <x v="3"/>
    <x v="2"/>
    <s v="2019-Q2"/>
  </r>
  <r>
    <s v="EMP-074"/>
    <s v="emp074"/>
    <s v="Meera Joshi"/>
    <d v="2021-07-08T00:00:00"/>
    <d v="2021-07-08T00:00:00"/>
    <s v="Analyst"/>
    <x v="7"/>
    <s v="FTE"/>
    <s v="PRJ-008"/>
    <s v="PRJ-072"/>
    <m/>
    <x v="1"/>
    <x v="1"/>
    <s v="2021-Q3"/>
  </r>
  <r>
    <s v="EMP075"/>
    <s v="emp075"/>
    <s v="Raghav Mishra"/>
    <s v="2017.02.16"/>
    <d v="2017-02-16T00:00:00"/>
    <s v="Consultant"/>
    <x v="5"/>
    <s v="FTE"/>
    <s v="PRJ-042"/>
    <s v="PRJ-073"/>
    <m/>
    <x v="6"/>
    <x v="0"/>
    <s v="2017-Q1"/>
  </r>
  <r>
    <s v="emp076"/>
    <s v="emp076"/>
    <s v="Snehal Patil"/>
    <d v="2020-10-29T00:00:00"/>
    <d v="2020-10-29T00:00:00"/>
    <s v="Consultant"/>
    <x v="3"/>
    <s v="FTE"/>
    <s v="PRJ-002"/>
    <m/>
    <m/>
    <x v="2"/>
    <x v="3"/>
    <s v="2020-Q4"/>
  </r>
  <r>
    <s v="EMP-077"/>
    <s v="emp077"/>
    <s v="Vimal Khanna"/>
    <d v="2018-01-13T00:00:00"/>
    <d v="2018-01-13T00:00:00"/>
    <s v="Sr Consultant"/>
    <x v="6"/>
    <s v="FTE"/>
    <s v="PRJ-040"/>
    <m/>
    <m/>
    <x v="5"/>
    <x v="0"/>
    <s v="2018-Q1"/>
  </r>
  <r>
    <s v="EMP078"/>
    <s v="emp078"/>
    <s v="Aishwarya Kulkarni"/>
    <d v="2022-06-21T00:00:00"/>
    <d v="2022-06-21T00:00:00"/>
    <s v="Analyst"/>
    <x v="4"/>
    <s v="Intern"/>
    <s v="PRJ-018"/>
    <m/>
    <m/>
    <x v="0"/>
    <x v="2"/>
    <s v="2022-Q2"/>
  </r>
  <r>
    <s v="EMP 079"/>
    <s v="emp079"/>
    <s v="Devansh Gupta"/>
    <d v="2016-05-04T00:00:00"/>
    <d v="2016-05-04T00:00:00"/>
    <s v="Lead Consultant"/>
    <x v="7"/>
    <s v="FTE"/>
    <s v="PRJ-014"/>
    <s v="PRJ-057"/>
    <m/>
    <x v="9"/>
    <x v="2"/>
    <s v="2016-Q2"/>
  </r>
  <r>
    <s v="EMP-080"/>
    <s v="emp080"/>
    <s v="Pallavi Mehta"/>
    <d v="2019-11-19T00:00:00"/>
    <d v="2019-11-19T00:00:00"/>
    <s v="Consultant"/>
    <x v="3"/>
    <s v="FTE"/>
    <s v="PRJ-028"/>
    <s v="PRJ-054"/>
    <m/>
    <x v="3"/>
    <x v="3"/>
    <s v="2019-Q4"/>
  </r>
  <r>
    <s v="emp081"/>
    <s v="emp081"/>
    <s v="Aniket Rao"/>
    <d v="2017-03-07T00:00:00"/>
    <d v="2017-03-07T00:00:00"/>
    <s v="Consultant"/>
    <x v="6"/>
    <s v="Intern"/>
    <s v="PRJ-048"/>
    <s v="PRJ-057"/>
    <m/>
    <x v="6"/>
    <x v="0"/>
    <s v="2017-Q1"/>
  </r>
  <r>
    <s v="EMP115"/>
    <s v="emp115"/>
    <s v="Shreya Rai"/>
    <d v="2019-11-19T00:00:00"/>
    <d v="2019-11-19T00:00:00"/>
    <s v="Consultant"/>
    <x v="6"/>
    <s v="FTE"/>
    <s v="PRJ-032"/>
    <m/>
    <m/>
    <x v="3"/>
    <x v="3"/>
    <s v="2019-Q4"/>
  </r>
  <r>
    <s v="EMP082"/>
    <s v="emp082"/>
    <s v="Rina Dsouza"/>
    <s v="2020.09.02"/>
    <d v="2020-09-02T00:00:00"/>
    <s v="Analyst"/>
    <x v="4"/>
    <s v="Intern"/>
    <s v="PRJ-001"/>
    <m/>
    <m/>
    <x v="2"/>
    <x v="1"/>
    <s v="2020-Q3"/>
  </r>
  <r>
    <s v="EMP-083"/>
    <s v="emp083"/>
    <s v="Karthik Nair"/>
    <d v="2018-08-28T00:00:00"/>
    <d v="2018-08-28T00:00:00"/>
    <s v="Consultant"/>
    <x v="5"/>
    <s v="FTE"/>
    <s v="PRJ-005"/>
    <m/>
    <m/>
    <x v="5"/>
    <x v="1"/>
    <s v="2018-Q3"/>
  </r>
  <r>
    <s v="EMP084"/>
    <s v="emp084"/>
    <s v="Shubhi Arora"/>
    <d v="2021-01-16T00:00:00"/>
    <d v="2021-01-16T00:00:00"/>
    <s v="Analyst"/>
    <x v="7"/>
    <s v="FTE"/>
    <s v="PRJ-003"/>
    <m/>
    <m/>
    <x v="1"/>
    <x v="0"/>
    <s v="2021-Q1"/>
  </r>
  <r>
    <s v="EMP 085"/>
    <s v="emp085"/>
    <s v="Manav Kapoor"/>
    <d v="2016-12-09T00:00:00"/>
    <d v="2016-12-09T00:00:00"/>
    <s v="Sr Consultant"/>
    <x v="3"/>
    <s v="FTE"/>
    <s v="PRJ-008"/>
    <s v="PRJ-075"/>
    <s v="PRJ-069"/>
    <x v="9"/>
    <x v="3"/>
    <s v="2016-Q4"/>
  </r>
  <r>
    <s v="EMP-086"/>
    <s v="emp086"/>
    <s v="Rupal Shah"/>
    <d v="2019-05-31T00:00:00"/>
    <d v="2019-05-31T00:00:00"/>
    <s v="Consultant"/>
    <x v="4"/>
    <s v="FTE"/>
    <s v="PRJ-015"/>
    <s v="PRJ-068"/>
    <m/>
    <x v="3"/>
    <x v="2"/>
    <s v="2019-Q2"/>
  </r>
  <r>
    <s v="emp087"/>
    <s v="emp087"/>
    <s v="Vinayak Patil"/>
    <d v="2017-06-23T00:00:00"/>
    <d v="2017-06-23T00:00:00"/>
    <s v="Lead Consultant"/>
    <x v="6"/>
    <s v="FTE"/>
    <s v="PRJ-017"/>
    <m/>
    <m/>
    <x v="6"/>
    <x v="2"/>
    <s v="2017-Q2"/>
  </r>
  <r>
    <s v="EMP088"/>
    <s v="emp088"/>
    <s v="Ishita Malhotra"/>
    <d v="2022-03-04T00:00:00"/>
    <d v="2022-03-04T00:00:00"/>
    <s v="Analyst"/>
    <x v="5"/>
    <s v="Intern"/>
    <s v="PRJ-043"/>
    <m/>
    <m/>
    <x v="0"/>
    <x v="0"/>
    <s v="2022-Q1"/>
  </r>
  <r>
    <s v="EMP-089"/>
    <s v="emp089"/>
    <s v="Saurabh Jain"/>
    <d v="2018-10-17T00:00:00"/>
    <d v="2018-10-17T00:00:00"/>
    <s v="Consultant"/>
    <x v="7"/>
    <s v="FTE"/>
    <s v="PRJ-032"/>
    <m/>
    <m/>
    <x v="5"/>
    <x v="3"/>
    <s v="2018-Q4"/>
  </r>
  <r>
    <s v="EMP090"/>
    <s v="emp090"/>
    <s v="Tanvi Kulkarni"/>
    <d v="2020-07-12T00:00:00"/>
    <d v="2020-07-12T00:00:00"/>
    <s v="Analyst"/>
    <x v="4"/>
    <s v="FTE"/>
    <s v="PRJ-029"/>
    <m/>
    <m/>
    <x v="2"/>
    <x v="1"/>
    <s v="2020-Q3"/>
  </r>
  <r>
    <s v="emp091"/>
    <s v="emp091"/>
    <s v="Keshav Arora"/>
    <s v="2016.04.01"/>
    <d v="2016-04-01T00:00:00"/>
    <s v="Consultant"/>
    <x v="3"/>
    <s v="Intern"/>
    <s v="PRJ-012"/>
    <m/>
    <m/>
    <x v="9"/>
    <x v="2"/>
    <s v="2016-Q2"/>
  </r>
  <r>
    <s v="EMP092"/>
    <s v="emp092"/>
    <s v="Monica Bansal"/>
    <d v="2019-02-14T00:00:00"/>
    <d v="2019-02-14T00:00:00"/>
    <s v="Consultant"/>
    <x v="6"/>
    <s v="FTE"/>
    <s v="PRJ-027"/>
    <s v="PRJ-077"/>
    <m/>
    <x v="3"/>
    <x v="0"/>
    <s v="2019-Q1"/>
  </r>
  <r>
    <s v="EMP 093"/>
    <s v="emp093"/>
    <s v="Rajat Khurana"/>
    <d v="2017-08-26T00:00:00"/>
    <d v="2017-08-26T00:00:00"/>
    <s v="Sr Consultant"/>
    <x v="5"/>
    <s v="FTE"/>
    <s v="PRJ-019"/>
    <s v="PRJ-066"/>
    <m/>
    <x v="6"/>
    <x v="1"/>
    <s v="2017-Q3"/>
  </r>
  <r>
    <s v="EMP-094"/>
    <s v="emp094"/>
    <s v="Naina Sethi"/>
    <d v="2021-11-06T00:00:00"/>
    <d v="2021-11-06T00:00:00"/>
    <s v="Analyst"/>
    <x v="7"/>
    <s v="FTE"/>
    <s v="PRJ-024"/>
    <s v="PRJ-083"/>
    <m/>
    <x v="1"/>
    <x v="3"/>
    <s v="2021-Q4"/>
  </r>
  <r>
    <s v="EMP095"/>
    <s v="emp095"/>
    <s v="Ashwin Iyer"/>
    <d v="2018-06-18T00:00:00"/>
    <d v="2018-06-18T00:00:00"/>
    <s v="Lead Consultant"/>
    <x v="3"/>
    <s v="FTE"/>
    <s v="PRJ-022"/>
    <s v="PRJ-090"/>
    <m/>
    <x v="5"/>
    <x v="2"/>
    <s v="2018-Q2"/>
  </r>
  <r>
    <s v="emp096"/>
    <s v="emp096"/>
    <s v="Preeti Goyal"/>
    <d v="2020-02-09T00:00:00"/>
    <d v="2020-02-09T00:00:00"/>
    <s v="Consultant"/>
    <x v="4"/>
    <s v="FTE"/>
    <s v="PRJ-045"/>
    <s v="PRJ-063"/>
    <m/>
    <x v="2"/>
    <x v="0"/>
    <s v="2020-Q1"/>
  </r>
  <r>
    <s v="EMP-097"/>
    <s v="emp097"/>
    <s v="Lakshya Jain"/>
    <d v="2016-09-30T00:00:00"/>
    <d v="2016-09-30T00:00:00"/>
    <s v="Consultant"/>
    <x v="6"/>
    <s v="Intern"/>
    <s v="PRJ-037"/>
    <m/>
    <m/>
    <x v="9"/>
    <x v="1"/>
    <s v="2016-Q3"/>
  </r>
  <r>
    <s v="EMP098"/>
    <s v="emp098"/>
    <s v="Bhavya Malhotra"/>
    <d v="2019-01-05T00:00:00"/>
    <d v="2019-01-05T00:00:00"/>
    <s v="Analyst"/>
    <x v="5"/>
    <s v="Intern"/>
    <s v="PRJ-038"/>
    <m/>
    <m/>
    <x v="3"/>
    <x v="0"/>
    <s v="2019-Q1"/>
  </r>
  <r>
    <s v="EMP 099"/>
    <s v="emp099"/>
    <s v="Tarun Saxena"/>
    <d v="2017-03-22T00:00:00"/>
    <d v="2017-03-22T00:00:00"/>
    <s v="Sr Consultant"/>
    <x v="7"/>
    <s v="FTE"/>
    <s v="PRJ-038"/>
    <m/>
    <m/>
    <x v="6"/>
    <x v="0"/>
    <s v="2017-Q1"/>
  </r>
  <r>
    <s v="EMP-100"/>
    <s v="emp100"/>
    <s v="Juhi Kapoor"/>
    <d v="2022-08-01T00:00:00"/>
    <d v="2022-08-01T00:00:00"/>
    <s v="Analyst"/>
    <x v="3"/>
    <s v="Intern"/>
    <s v="PRJ-008"/>
    <m/>
    <m/>
    <x v="0"/>
    <x v="1"/>
    <s v="2022-Q3"/>
  </r>
  <r>
    <s v="emp101"/>
    <s v="emp101"/>
    <s v="Taarak Goyal"/>
    <d v="2024-02-11T00:00:00"/>
    <d v="2024-02-11T00:00:00"/>
    <s v="Sr. Consultant"/>
    <x v="4"/>
    <s v="FTE"/>
    <s v="PRJ-034"/>
    <s v="PRJ-088"/>
    <m/>
    <x v="8"/>
    <x v="0"/>
    <s v="2024-Q1"/>
  </r>
  <r>
    <s v="emp 102"/>
    <s v="emp102"/>
    <s v="Himank Arora"/>
    <n v="46003"/>
    <d v="2025-12-12T00:00:00"/>
    <s v="Lead Consultant"/>
    <x v="4"/>
    <s v="Intern"/>
    <s v="PRJ-049"/>
    <m/>
    <m/>
    <x v="7"/>
    <x v="3"/>
    <s v="2025-Q4"/>
  </r>
  <r>
    <s v="EMP-103"/>
    <s v="emp103"/>
    <s v="Siddhesh Kunda"/>
    <m/>
    <s v=""/>
    <s v="Manager"/>
    <x v="3"/>
    <s v="FTE"/>
    <s v="PRJ-035"/>
    <s v="PRJ-082 "/>
    <m/>
    <x v="11"/>
    <x v="4"/>
    <s v="Missing"/>
  </r>
  <r>
    <s v="EMP-104"/>
    <s v="emp104"/>
    <s v="Karan Patel"/>
    <s v="2025.12.23"/>
    <d v="2025-12-23T00:00:00"/>
    <s v="Lead Consultant"/>
    <x v="3"/>
    <s v="FTE"/>
    <s v="PRJ-046"/>
    <s v="PRJ-054"/>
    <m/>
    <x v="7"/>
    <x v="3"/>
    <s v="2025-Q4"/>
  </r>
  <r>
    <s v="emP-105"/>
    <s v="emp105"/>
    <s v="Keona Kerry"/>
    <s v="12-31-25"/>
    <d v="2025-12-31T00:00:00"/>
    <s v="Sr. Analyst"/>
    <x v="3"/>
    <s v="Intern"/>
    <s v="PRJ-042"/>
    <m/>
    <m/>
    <x v="7"/>
    <x v="3"/>
    <s v="2025-Q4"/>
  </r>
  <r>
    <s v="Emp-106"/>
    <s v="emp106"/>
    <s v="Krishna Arora"/>
    <d v="2025-12-12T00:00:00"/>
    <d v="2025-12-12T00:00:00"/>
    <s v="Sr. Analyst"/>
    <x v="3"/>
    <s v="Freelancer"/>
    <s v="PRJ-035"/>
    <s v="PRJ-090"/>
    <m/>
    <x v="7"/>
    <x v="3"/>
    <s v="2025-Q4"/>
  </r>
  <r>
    <s v="Emp-107"/>
    <s v="emp107"/>
    <s v="Neelam Jha"/>
    <m/>
    <s v=""/>
    <s v="Principal Consultant"/>
    <x v="2"/>
    <s v="FTE"/>
    <s v="PRJ-041"/>
    <s v="PRJ-076"/>
    <m/>
    <x v="11"/>
    <x v="4"/>
    <s v="Missing"/>
  </r>
  <r>
    <s v="emp-108"/>
    <s v="emp108"/>
    <s v="Sanjeev Kapur"/>
    <d v="2017-04-18T00:00:00"/>
    <d v="2017-04-18T00:00:00"/>
    <s v="Sr. Consultant"/>
    <x v="2"/>
    <s v="FTE"/>
    <s v="PRJ-050"/>
    <s v="PRJ-065"/>
    <m/>
    <x v="6"/>
    <x v="2"/>
    <s v="2017-Q2"/>
  </r>
  <r>
    <s v="emp 110"/>
    <s v="emp110"/>
    <s v="Tanu Sehgal"/>
    <d v="2025-10-19T00:00:00"/>
    <d v="2025-10-19T00:00:00"/>
    <s v="Analyst"/>
    <x v="2"/>
    <s v="Intern"/>
    <s v="PRJ-046"/>
    <m/>
    <m/>
    <x v="7"/>
    <x v="3"/>
    <s v="2025-Q4"/>
  </r>
  <r>
    <s v="emp111"/>
    <s v="emp111"/>
    <s v="Sakshi Ahuja"/>
    <d v="2023-12-21T00:00:00"/>
    <d v="2023-12-21T00:00:00"/>
    <s v="Lead Consultant"/>
    <x v="0"/>
    <s v="FTE"/>
    <s v="PRJ-026"/>
    <s v="PRJ-085"/>
    <m/>
    <x v="4"/>
    <x v="3"/>
    <s v="2023-Q4"/>
  </r>
  <r>
    <s v="EMP123"/>
    <s v="emp123"/>
    <s v="Srishti Jain"/>
    <s v="2016.12.31"/>
    <d v="2016-12-31T00:00:00"/>
    <s v="Sr. Consultant"/>
    <x v="0"/>
    <s v="FTE"/>
    <s v="PRJ-044"/>
    <s v="PRJ-061"/>
    <s v="PRJ-088"/>
    <x v="9"/>
    <x v="3"/>
    <s v="2016-Q4"/>
  </r>
  <r>
    <s v="EMP-046"/>
    <s v="emp046"/>
    <s v="Neetu Sharma"/>
    <d v="2022-04-02T00:00:00"/>
    <d v="2022-04-02T00:00:00"/>
    <s v="Analyst"/>
    <x v="2"/>
    <s v="Intern"/>
    <s v="PRJ-031"/>
    <s v="PRJ-060"/>
    <m/>
    <x v="0"/>
    <x v="2"/>
    <s v="2022-Q2"/>
  </r>
  <r>
    <s v="EMp114"/>
    <s v="emp114"/>
    <s v="Naresh Pal"/>
    <d v="2024-12-12T00:00:00"/>
    <d v="2024-12-12T00:00:00"/>
    <s v="Analyst"/>
    <x v="0"/>
    <s v="FTE"/>
    <s v="PRJ-036"/>
    <s v="PRJ-059"/>
    <m/>
    <x v="8"/>
    <x v="3"/>
    <s v="2024-Q4"/>
  </r>
  <r>
    <s v="EMP152"/>
    <s v="emp152"/>
    <s v="Deepak Galgotiya"/>
    <d v="2023-01-30T00:00:00"/>
    <d v="2023-01-30T00:00:00"/>
    <s v="Lead Consultant"/>
    <x v="0"/>
    <s v="Freelancer"/>
    <s v="PRJ-049"/>
    <s v="PRJ-073"/>
    <m/>
    <x v="4"/>
    <x v="0"/>
    <s v="2023-Q1"/>
  </r>
  <r>
    <s v="EMP130"/>
    <s v="emp130"/>
    <s v="Priya Ratwani"/>
    <n v="43159"/>
    <d v="2018-02-28T00:00:00"/>
    <s v="Lead Consultant"/>
    <x v="0"/>
    <s v="FTE"/>
    <s v="PRJ-047"/>
    <s v="PRJ-055"/>
    <s v="PRJ-089"/>
    <x v="5"/>
    <x v="0"/>
    <s v="2018-Q1"/>
  </r>
  <r>
    <s v="Emp135"/>
    <s v="emp135"/>
    <s v="Anchal Rastogi"/>
    <d v="2020-02-04T00:00:00"/>
    <d v="2020-02-04T00:00:00"/>
    <s v="Analyst"/>
    <x v="0"/>
    <s v="Intern"/>
    <s v="PRJ-039"/>
    <m/>
    <m/>
    <x v="2"/>
    <x v="0"/>
    <s v="2020-Q1"/>
  </r>
  <r>
    <s v="emp-109"/>
    <s v="emp109"/>
    <s v="Nishi Mishra"/>
    <d v="2020-10-29T00:00:00"/>
    <d v="2020-10-29T00:00:00"/>
    <s v="Analyst"/>
    <x v="6"/>
    <s v="FTE"/>
    <s v="PRJ-003"/>
    <s v="PRJ-066"/>
    <m/>
    <x v="2"/>
    <x v="3"/>
    <s v="2020-Q4"/>
  </r>
  <r>
    <s v="emp-112"/>
    <s v="emp112"/>
    <s v="Atharva Arnav"/>
    <d v="2016-05-04T00:00:00"/>
    <d v="2016-05-04T00:00:00"/>
    <s v="Lead Consultant"/>
    <x v="6"/>
    <s v="FTE"/>
    <s v="PRJ-017"/>
    <m/>
    <m/>
    <x v="9"/>
    <x v="2"/>
    <s v="2016-Q2"/>
  </r>
  <r>
    <s v="EMP-113"/>
    <s v="emp113"/>
    <s v="Shrey Vishwakarma"/>
    <d v="2017-03-22T00:00:00"/>
    <d v="2017-03-22T00:00:00"/>
    <s v="Sr Consultant"/>
    <x v="6"/>
    <s v="FTE"/>
    <s v="PRJ-004"/>
    <s v="PRJ-055"/>
    <m/>
    <x v="6"/>
    <x v="0"/>
    <s v="2017-Q1"/>
  </r>
  <r>
    <s v="EMP-115"/>
    <s v="emp115"/>
    <s v="Shreya Rai"/>
    <d v="2019-11-19T00:00:00"/>
    <d v="2019-11-19T00:00:00"/>
    <s v="Consultant"/>
    <x v="6"/>
    <s v="FTE"/>
    <s v="PRJ-032"/>
    <m/>
    <m/>
    <x v="3"/>
    <x v="3"/>
    <s v="2019-Q4"/>
  </r>
  <r>
    <s v="emp-116"/>
    <s v="emp116"/>
    <s v="Anjali Kapoor"/>
    <s v="2025.12.23"/>
    <d v="2025-12-23T00:00:00"/>
    <s v="Consultant"/>
    <x v="6"/>
    <s v="FTE"/>
    <s v="PRJ-003"/>
    <s v="PRJ-083"/>
    <m/>
    <x v="7"/>
    <x v="3"/>
    <s v="2025-Q4"/>
  </r>
  <r>
    <s v="EMP-117"/>
    <s v="emp117"/>
    <s v="Himanshi Mathur"/>
    <s v="12-31-25"/>
    <d v="2025-12-31T00:00:00"/>
    <s v="Consultant"/>
    <x v="6"/>
    <s v="Freelancer"/>
    <s v="PRJ-039"/>
    <s v="PRJ-071_x000a_"/>
    <m/>
    <x v="7"/>
    <x v="3"/>
    <s v="2025-Q4"/>
  </r>
  <r>
    <s v="emp-118"/>
    <s v="emp118"/>
    <s v="Ayush Negi"/>
    <d v="2016-05-04T00:00:00"/>
    <d v="2016-05-04T00:00:00"/>
    <s v="Analyst"/>
    <x v="6"/>
    <s v="Freelancer"/>
    <s v="PRJ-027"/>
    <s v="PRJ-087"/>
    <m/>
    <x v="9"/>
    <x v="2"/>
    <s v="2016-Q2"/>
  </r>
  <r>
    <s v="EMP-119"/>
    <s v="emp119"/>
    <s v="Aradhya Jha"/>
    <s v="2020.09.02"/>
    <d v="2020-09-02T00:00:00"/>
    <s v="Principal Consultant"/>
    <x v="6"/>
    <s v="FTE"/>
    <s v="PRJ-043"/>
    <s v="PRJ-062"/>
    <m/>
    <x v="2"/>
    <x v="1"/>
    <s v="2020-Q3"/>
  </r>
  <r>
    <s v="EMP-120"/>
    <s v="emp120"/>
    <s v="Jagdish Pal"/>
    <d v="2020-01-30T00:00:00"/>
    <d v="2020-01-30T00:00:00"/>
    <s v="Lead Consultant"/>
    <x v="7"/>
    <s v="FTE"/>
    <s v="PRJ-048"/>
    <s v="PRJ-062"/>
    <m/>
    <x v="2"/>
    <x v="0"/>
    <s v="2020-Q1"/>
  </r>
  <r>
    <s v="EMP-121"/>
    <s v="emp121"/>
    <s v="Jekanth Kedia"/>
    <d v="2017-03-07T00:00:00"/>
    <d v="2017-03-07T00:00:00"/>
    <s v="Analyst"/>
    <x v="7"/>
    <s v="FTE"/>
    <s v="PRJ-041"/>
    <m/>
    <m/>
    <x v="6"/>
    <x v="0"/>
    <s v="2017-Q1"/>
  </r>
  <r>
    <s v="EMP-122"/>
    <s v="emp122"/>
    <s v="Ruby Gupta"/>
    <d v="2022-06-21T00:00:00"/>
    <d v="2022-06-21T00:00:00"/>
    <s v="Consultant"/>
    <x v="7"/>
    <s v="FTE"/>
    <s v="PRJ-047"/>
    <s v="PRJ-088"/>
    <m/>
    <x v="0"/>
    <x v="2"/>
    <s v="2022-Q2"/>
  </r>
  <r>
    <s v="EMP-123"/>
    <s v="emp123"/>
    <s v="Srishti Jain"/>
    <d v="2016-12-31T00:00:00"/>
    <d v="2016-12-31T00:00:00"/>
    <s v="Sr. Consultant"/>
    <x v="0"/>
    <s v="FTE"/>
    <s v="PRJ-044"/>
    <s v="PRJ-061"/>
    <s v="PRJ-088"/>
    <x v="9"/>
    <x v="3"/>
    <s v="2016-Q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x v="0"/>
    <n v="44562"/>
    <d v="2022-01-01T00:00:00"/>
    <x v="0"/>
    <s v="Data"/>
    <s v="FTE"/>
    <n v="2022"/>
    <s v="Q1"/>
    <s v="2022-Q1"/>
    <x v="0"/>
  </r>
  <r>
    <x v="0"/>
    <x v="0"/>
    <n v="44562"/>
    <d v="2022-01-01T00:00:00"/>
    <x v="0"/>
    <s v="Data"/>
    <s v="FTE"/>
    <n v="2022"/>
    <s v="Q1"/>
    <s v="2022-Q1"/>
    <x v="1"/>
  </r>
  <r>
    <x v="1"/>
    <x v="1"/>
    <n v="44242"/>
    <d v="2021-02-15T00:00:00"/>
    <x v="1"/>
    <s v="Digital"/>
    <s v="FTE"/>
    <n v="2021"/>
    <s v="Q1"/>
    <s v="2021-Q1"/>
    <x v="2"/>
  </r>
  <r>
    <x v="1"/>
    <x v="1"/>
    <n v="44242"/>
    <d v="2021-02-15T00:00:00"/>
    <x v="1"/>
    <s v="Digital"/>
    <s v="FTE"/>
    <n v="2021"/>
    <s v="Q1"/>
    <s v="2021-Q1"/>
    <x v="3"/>
  </r>
  <r>
    <x v="2"/>
    <x v="2"/>
    <n v="44022"/>
    <d v="2020-07-10T00:00:00"/>
    <x v="2"/>
    <s v="AI"/>
    <s v="FTE"/>
    <n v="2020"/>
    <s v="Q3"/>
    <s v="2020-Q3"/>
    <x v="4"/>
  </r>
  <r>
    <x v="2"/>
    <x v="2"/>
    <n v="44022"/>
    <d v="2020-07-10T00:00:00"/>
    <x v="2"/>
    <s v="AI"/>
    <s v="FTE"/>
    <n v="2020"/>
    <s v="Q3"/>
    <s v="2020-Q3"/>
    <x v="5"/>
  </r>
  <r>
    <x v="3"/>
    <x v="3"/>
    <s v="03-15-2019"/>
    <d v="2019-03-15T00:00:00"/>
    <x v="3"/>
    <s v="Digital"/>
    <s v="FTE"/>
    <n v="2019"/>
    <s v="Q1"/>
    <s v="2019-Q1"/>
    <x v="6"/>
  </r>
  <r>
    <x v="3"/>
    <x v="3"/>
    <s v="03-15-2019"/>
    <d v="2019-03-15T00:00:00"/>
    <x v="3"/>
    <s v="Digital"/>
    <s v="FTE"/>
    <n v="2019"/>
    <s v="Q1"/>
    <s v="2019-Q1"/>
    <x v="7"/>
  </r>
  <r>
    <x v="4"/>
    <x v="4"/>
    <n v="45017"/>
    <d v="2023-04-01T00:00:00"/>
    <x v="4"/>
    <s v="Data"/>
    <s v="FTE"/>
    <n v="2023"/>
    <s v="Q2"/>
    <s v="2023-Q2"/>
    <x v="8"/>
  </r>
  <r>
    <x v="4"/>
    <x v="4"/>
    <n v="45017"/>
    <d v="2023-04-01T00:00:00"/>
    <x v="4"/>
    <s v="Data"/>
    <s v="FTE"/>
    <n v="2023"/>
    <s v="Q2"/>
    <s v="2023-Q2"/>
    <x v="9"/>
  </r>
  <r>
    <x v="4"/>
    <x v="4"/>
    <n v="45017"/>
    <d v="2023-04-01T00:00:00"/>
    <x v="4"/>
    <s v="Data"/>
    <s v="FTE"/>
    <n v="2023"/>
    <s v="Q2"/>
    <s v="2023-Q2"/>
    <x v="10"/>
  </r>
  <r>
    <x v="5"/>
    <x v="5"/>
    <n v="43405"/>
    <d v="2018-11-01T00:00:00"/>
    <x v="5"/>
    <s v="AI"/>
    <s v="FTE"/>
    <n v="2018"/>
    <s v="Q4"/>
    <s v="2018-Q4"/>
    <x v="11"/>
  </r>
  <r>
    <x v="5"/>
    <x v="5"/>
    <n v="43405"/>
    <d v="2018-11-01T00:00:00"/>
    <x v="5"/>
    <s v="AI"/>
    <s v="FTE"/>
    <n v="2018"/>
    <s v="Q4"/>
    <s v="2018-Q4"/>
    <x v="1"/>
  </r>
  <r>
    <x v="6"/>
    <x v="6"/>
    <n v="42898"/>
    <d v="2017-06-12T00:00:00"/>
    <x v="3"/>
    <s v="Digital"/>
    <s v="FTE"/>
    <n v="2017"/>
    <s v="Q2"/>
    <s v="2017-Q2"/>
    <x v="12"/>
  </r>
  <r>
    <x v="7"/>
    <x v="7"/>
    <s v="07.08.2020"/>
    <d v="2020-07-08T00:00:00"/>
    <x v="3"/>
    <s v="Data"/>
    <s v="FTE"/>
    <n v="2020"/>
    <s v="Q3"/>
    <s v="2020-Q3"/>
    <x v="13"/>
  </r>
  <r>
    <x v="7"/>
    <x v="7"/>
    <s v="07.08.2020"/>
    <d v="2020-07-08T00:00:00"/>
    <x v="3"/>
    <s v="Data"/>
    <s v="FTE"/>
    <n v="2020"/>
    <s v="Q3"/>
    <s v="2020-Q3"/>
    <x v="14"/>
  </r>
  <r>
    <x v="8"/>
    <x v="8"/>
    <n v="44571"/>
    <d v="2022-01-10T00:00:00"/>
    <x v="6"/>
    <s v="Data"/>
    <s v="Intern"/>
    <n v="2022"/>
    <s v="Q1"/>
    <s v="2022-Q1"/>
    <x v="15"/>
  </r>
  <r>
    <x v="9"/>
    <x v="9"/>
    <n v="45673"/>
    <d v="2025-01-16T00:00:00"/>
    <x v="3"/>
    <s v="AI"/>
    <s v="Intern"/>
    <n v="2025"/>
    <s v="Q1"/>
    <s v="2025-Q1"/>
    <x v="16"/>
  </r>
  <r>
    <x v="10"/>
    <x v="10"/>
    <n v="43713"/>
    <d v="2019-09-05T00:00:00"/>
    <x v="3"/>
    <s v="Digital"/>
    <s v="FTE"/>
    <n v="2019"/>
    <s v="Q3"/>
    <s v="2019-Q3"/>
    <x v="17"/>
  </r>
  <r>
    <x v="10"/>
    <x v="10"/>
    <n v="43713"/>
    <d v="2019-09-05T00:00:00"/>
    <x v="3"/>
    <s v="Digital"/>
    <s v="FTE"/>
    <n v="2019"/>
    <s v="Q3"/>
    <s v="2019-Q3"/>
    <x v="18"/>
  </r>
  <r>
    <x v="11"/>
    <x v="11"/>
    <n v="44260"/>
    <d v="2021-03-05T00:00:00"/>
    <x v="6"/>
    <s v="Data"/>
    <s v="Intern"/>
    <n v="2021"/>
    <s v="Q1"/>
    <s v="2021-Q1"/>
    <x v="19"/>
  </r>
  <r>
    <x v="12"/>
    <x v="12"/>
    <n v="45301"/>
    <d v="2024-01-10T00:00:00"/>
    <x v="0"/>
    <s v="AI"/>
    <s v="FTE"/>
    <n v="2024"/>
    <s v="Q1"/>
    <s v="2024-Q1"/>
    <x v="20"/>
  </r>
  <r>
    <x v="12"/>
    <x v="12"/>
    <n v="45301"/>
    <d v="2024-01-10T00:00:00"/>
    <x v="0"/>
    <s v="AI"/>
    <s v="FTE"/>
    <n v="2024"/>
    <s v="Q1"/>
    <s v="2024-Q1"/>
    <x v="18"/>
  </r>
  <r>
    <x v="13"/>
    <x v="13"/>
    <n v="42780"/>
    <d v="2017-02-14T00:00:00"/>
    <x v="3"/>
    <s v="Digital"/>
    <s v="FTE"/>
    <n v="2017"/>
    <s v="Q1"/>
    <s v="2017-Q1"/>
    <x v="21"/>
  </r>
  <r>
    <x v="13"/>
    <x v="13"/>
    <n v="42780"/>
    <d v="2017-02-14T00:00:00"/>
    <x v="3"/>
    <s v="Digital"/>
    <s v="FTE"/>
    <n v="2017"/>
    <s v="Q1"/>
    <s v="2017-Q1"/>
    <x v="22"/>
  </r>
  <r>
    <x v="14"/>
    <x v="14"/>
    <s v="01.06.2020"/>
    <d v="2020-01-06T00:00:00"/>
    <x v="2"/>
    <s v="Data"/>
    <s v="FTE"/>
    <n v="2020"/>
    <s v="Q1"/>
    <s v="2020-Q1"/>
    <x v="15"/>
  </r>
  <r>
    <x v="14"/>
    <x v="14"/>
    <s v="01.06.2020"/>
    <d v="2020-01-06T00:00:00"/>
    <x v="2"/>
    <s v="Data"/>
    <s v="FTE"/>
    <n v="2020"/>
    <s v="Q1"/>
    <s v="2020-Q1"/>
    <x v="23"/>
  </r>
  <r>
    <x v="14"/>
    <x v="14"/>
    <s v="01.06.2020"/>
    <d v="2020-01-06T00:00:00"/>
    <x v="2"/>
    <s v="Data"/>
    <s v="FTE"/>
    <n v="2020"/>
    <s v="Q1"/>
    <s v="2020-Q1"/>
    <x v="24"/>
  </r>
  <r>
    <x v="15"/>
    <x v="15"/>
    <n v="42705"/>
    <d v="2016-12-01T00:00:00"/>
    <x v="6"/>
    <s v="AI"/>
    <s v="FTE"/>
    <n v="2016"/>
    <s v="Q4"/>
    <s v="2016-Q4"/>
    <x v="20"/>
  </r>
  <r>
    <x v="15"/>
    <x v="15"/>
    <n v="42705"/>
    <d v="2016-12-01T00:00:00"/>
    <x v="6"/>
    <s v="AI"/>
    <s v="FTE"/>
    <n v="2016"/>
    <s v="Q4"/>
    <s v="2016-Q4"/>
    <x v="25"/>
  </r>
  <r>
    <x v="16"/>
    <x v="16"/>
    <n v="44423"/>
    <d v="2021-08-15T00:00:00"/>
    <x v="3"/>
    <s v="Digital"/>
    <s v="FTE"/>
    <n v="2021"/>
    <s v="Q3"/>
    <s v="2021-Q3"/>
    <x v="26"/>
  </r>
  <r>
    <x v="16"/>
    <x v="16"/>
    <n v="44423"/>
    <d v="2021-08-15T00:00:00"/>
    <x v="3"/>
    <s v="Digital"/>
    <s v="FTE"/>
    <n v="2021"/>
    <s v="Q3"/>
    <s v="2021-Q3"/>
    <x v="7"/>
  </r>
  <r>
    <x v="17"/>
    <x v="17"/>
    <n v="44621"/>
    <d v="2022-03-01T00:00:00"/>
    <x v="6"/>
    <s v="Data"/>
    <s v="Intern"/>
    <n v="2022"/>
    <s v="Q1"/>
    <s v="2022-Q1"/>
    <x v="27"/>
  </r>
  <r>
    <x v="18"/>
    <x v="18"/>
    <n v="44123"/>
    <d v="2020-10-19T00:00:00"/>
    <x v="3"/>
    <s v="AI"/>
    <s v="FTE"/>
    <n v="2020"/>
    <s v="Q4"/>
    <s v="2020-Q4"/>
    <x v="4"/>
  </r>
  <r>
    <x v="18"/>
    <x v="18"/>
    <n v="44123"/>
    <d v="2020-10-19T00:00:00"/>
    <x v="3"/>
    <s v="AI"/>
    <s v="FTE"/>
    <n v="2020"/>
    <s v="Q4"/>
    <s v="2020-Q4"/>
    <x v="14"/>
  </r>
  <r>
    <x v="19"/>
    <x v="19"/>
    <n v="43668"/>
    <d v="2019-07-22T00:00:00"/>
    <x v="4"/>
    <s v="Digital"/>
    <s v="FTE"/>
    <n v="2019"/>
    <s v="Q3"/>
    <s v="2019-Q3"/>
    <x v="28"/>
  </r>
  <r>
    <x v="19"/>
    <x v="19"/>
    <n v="43668"/>
    <d v="2019-07-22T00:00:00"/>
    <x v="4"/>
    <s v="Digital"/>
    <s v="FTE"/>
    <n v="2019"/>
    <s v="Q3"/>
    <s v="2019-Q3"/>
    <x v="29"/>
  </r>
  <r>
    <x v="19"/>
    <x v="19"/>
    <n v="43668"/>
    <d v="2019-07-22T00:00:00"/>
    <x v="4"/>
    <s v="Digital"/>
    <s v="FTE"/>
    <n v="2019"/>
    <s v="Q3"/>
    <s v="2019-Q3"/>
    <x v="30"/>
  </r>
  <r>
    <x v="20"/>
    <x v="20"/>
    <n v="44207"/>
    <d v="2021-01-11T00:00:00"/>
    <x v="6"/>
    <s v="Data"/>
    <s v="Intern"/>
    <n v="2021"/>
    <s v="Q1"/>
    <s v="2021-Q1"/>
    <x v="0"/>
  </r>
  <r>
    <x v="21"/>
    <x v="21"/>
    <s v="2018.04.03"/>
    <d v="2018-04-03T00:00:00"/>
    <x v="3"/>
    <s v="AI"/>
    <s v="FTE"/>
    <n v="2018"/>
    <s v="Q2"/>
    <s v="2018-Q2"/>
    <x v="31"/>
  </r>
  <r>
    <x v="21"/>
    <x v="21"/>
    <s v="2018.04.03"/>
    <d v="2018-04-03T00:00:00"/>
    <x v="3"/>
    <s v="AI"/>
    <s v="FTE"/>
    <n v="2018"/>
    <s v="Q2"/>
    <s v="2018-Q2"/>
    <x v="32"/>
  </r>
  <r>
    <x v="22"/>
    <x v="22"/>
    <n v="42884"/>
    <d v="2017-05-29T00:00:00"/>
    <x v="2"/>
    <s v="Digital"/>
    <s v="FTE"/>
    <n v="2017"/>
    <s v="Q2"/>
    <s v="2017-Q2"/>
    <x v="33"/>
  </r>
  <r>
    <x v="22"/>
    <x v="22"/>
    <n v="42884"/>
    <d v="2017-05-29T00:00:00"/>
    <x v="2"/>
    <s v="Digital"/>
    <s v="FTE"/>
    <n v="2017"/>
    <s v="Q2"/>
    <s v="2017-Q2"/>
    <x v="34"/>
  </r>
  <r>
    <x v="23"/>
    <x v="23"/>
    <n v="44805"/>
    <d v="2022-09-01T00:00:00"/>
    <x v="6"/>
    <s v="Data"/>
    <s v="FTE"/>
    <n v="2022"/>
    <s v="Q3"/>
    <s v="2022-Q3"/>
    <x v="12"/>
  </r>
  <r>
    <x v="23"/>
    <x v="23"/>
    <n v="44805"/>
    <d v="2022-09-01T00:00:00"/>
    <x v="6"/>
    <s v="Data"/>
    <s v="FTE"/>
    <n v="2022"/>
    <s v="Q3"/>
    <s v="2022-Q3"/>
    <x v="35"/>
  </r>
  <r>
    <x v="24"/>
    <x v="24"/>
    <n v="43878"/>
    <d v="2020-02-17T00:00:00"/>
    <x v="3"/>
    <s v="AI"/>
    <s v="FTE"/>
    <n v="2020"/>
    <s v="Q1"/>
    <s v="2020-Q1"/>
    <x v="36"/>
  </r>
  <r>
    <x v="24"/>
    <x v="24"/>
    <n v="43878"/>
    <d v="2020-02-17T00:00:00"/>
    <x v="3"/>
    <s v="AI"/>
    <s v="FTE"/>
    <n v="2020"/>
    <s v="Q1"/>
    <s v="2020-Q1"/>
    <x v="3"/>
  </r>
  <r>
    <x v="25"/>
    <x v="25"/>
    <n v="42439"/>
    <d v="2016-03-10T00:00:00"/>
    <x v="4"/>
    <s v="Digital"/>
    <s v="Freelancer"/>
    <n v="2016"/>
    <s v="Q1"/>
    <s v="2016-Q1"/>
    <x v="13"/>
  </r>
  <r>
    <x v="26"/>
    <x v="26"/>
    <n v="43777"/>
    <d v="2019-11-08T00:00:00"/>
    <x v="3"/>
    <s v="Data"/>
    <s v="FTE"/>
    <n v="2019"/>
    <s v="Q4"/>
    <s v="2019-Q4"/>
    <x v="4"/>
  </r>
  <r>
    <x v="26"/>
    <x v="26"/>
    <n v="43777"/>
    <d v="2019-11-08T00:00:00"/>
    <x v="3"/>
    <s v="Data"/>
    <s v="FTE"/>
    <n v="2019"/>
    <s v="Q4"/>
    <s v="2019-Q4"/>
    <x v="37"/>
  </r>
  <r>
    <x v="27"/>
    <x v="27"/>
    <n v="44361"/>
    <d v="2021-06-14T00:00:00"/>
    <x v="6"/>
    <s v="AI"/>
    <s v="Intern"/>
    <n v="2021"/>
    <s v="Q2"/>
    <s v="2021-Q2"/>
    <x v="31"/>
  </r>
  <r>
    <x v="27"/>
    <x v="27"/>
    <n v="44361"/>
    <d v="2021-06-14T00:00:00"/>
    <x v="6"/>
    <s v="AI"/>
    <s v="Intern"/>
    <n v="2021"/>
    <s v="Q2"/>
    <s v="2021-Q2"/>
    <x v="38"/>
  </r>
  <r>
    <x v="28"/>
    <x v="28"/>
    <n v="43333"/>
    <d v="2018-08-21T00:00:00"/>
    <x v="2"/>
    <s v="Digital"/>
    <s v="FTE"/>
    <n v="2018"/>
    <s v="Q3"/>
    <s v="2018-Q3"/>
    <x v="39"/>
  </r>
  <r>
    <x v="28"/>
    <x v="28"/>
    <n v="43333"/>
    <d v="2018-08-21T00:00:00"/>
    <x v="2"/>
    <s v="Digital"/>
    <s v="FTE"/>
    <n v="2018"/>
    <s v="Q3"/>
    <s v="2018-Q3"/>
    <x v="29"/>
  </r>
  <r>
    <x v="29"/>
    <x v="29"/>
    <n v="44900"/>
    <d v="2022-12-05T00:00:00"/>
    <x v="6"/>
    <s v="Data"/>
    <s v="Intern"/>
    <n v="2022"/>
    <s v="Q4"/>
    <s v="2022-Q4"/>
    <x v="40"/>
  </r>
  <r>
    <x v="30"/>
    <x v="30"/>
    <n v="42843"/>
    <d v="2017-04-18T00:00:00"/>
    <x v="3"/>
    <s v="AI"/>
    <s v="Freelancer"/>
    <n v="2017"/>
    <s v="Q2"/>
    <s v="2017-Q2"/>
    <x v="11"/>
  </r>
  <r>
    <x v="30"/>
    <x v="30"/>
    <n v="42843"/>
    <d v="2017-04-18T00:00:00"/>
    <x v="3"/>
    <s v="AI"/>
    <s v="Freelancer"/>
    <n v="2017"/>
    <s v="Q2"/>
    <s v="2017-Q2"/>
    <x v="23"/>
  </r>
  <r>
    <x v="31"/>
    <x v="31"/>
    <n v="43492"/>
    <d v="2019-01-27T00:00:00"/>
    <x v="4"/>
    <s v="Digital"/>
    <s v="FTE"/>
    <n v="2019"/>
    <s v="Q1"/>
    <s v="2019-Q1"/>
    <x v="41"/>
  </r>
  <r>
    <x v="31"/>
    <x v="31"/>
    <n v="43492"/>
    <d v="2019-01-27T00:00:00"/>
    <x v="4"/>
    <s v="Digital"/>
    <s v="FTE"/>
    <n v="2019"/>
    <s v="Q1"/>
    <s v="2019-Q1"/>
    <x v="42"/>
  </r>
  <r>
    <x v="32"/>
    <x v="32"/>
    <s v="2016.06.09"/>
    <d v="2016-06-09T00:00:00"/>
    <x v="3"/>
    <s v="Data"/>
    <s v="Freelancer"/>
    <n v="2016"/>
    <s v="Q2"/>
    <s v="2016-Q2"/>
    <x v="8"/>
  </r>
  <r>
    <x v="33"/>
    <x v="33"/>
    <n v="43964"/>
    <d v="2020-05-13T00:00:00"/>
    <x v="6"/>
    <s v="AI"/>
    <s v="Intern"/>
    <n v="2020"/>
    <s v="Q2"/>
    <s v="2020-Q2"/>
    <x v="43"/>
  </r>
  <r>
    <x v="33"/>
    <x v="33"/>
    <n v="43964"/>
    <d v="2020-05-13T00:00:00"/>
    <x v="6"/>
    <s v="AI"/>
    <s v="Intern"/>
    <n v="2020"/>
    <s v="Q2"/>
    <s v="2020-Q2"/>
    <x v="32"/>
  </r>
  <r>
    <x v="34"/>
    <x v="34"/>
    <n v="44499"/>
    <d v="2021-10-30T00:00:00"/>
    <x v="3"/>
    <s v="Digital"/>
    <s v="FTE"/>
    <n v="2021"/>
    <s v="Q4"/>
    <s v="2021-Q4"/>
    <x v="44"/>
  </r>
  <r>
    <x v="34"/>
    <x v="34"/>
    <n v="44499"/>
    <d v="2021-10-30T00:00:00"/>
    <x v="3"/>
    <s v="Digital"/>
    <s v="FTE"/>
    <n v="2021"/>
    <s v="Q4"/>
    <s v="2021-Q4"/>
    <x v="45"/>
  </r>
  <r>
    <x v="35"/>
    <x v="35"/>
    <n v="43147"/>
    <d v="2018-02-16T00:00:00"/>
    <x v="2"/>
    <s v="Data"/>
    <s v="FTE"/>
    <n v="2018"/>
    <s v="Q1"/>
    <s v="2018-Q1"/>
    <x v="16"/>
  </r>
  <r>
    <x v="35"/>
    <x v="35"/>
    <n v="43147"/>
    <d v="2018-02-16T00:00:00"/>
    <x v="2"/>
    <s v="Data"/>
    <s v="FTE"/>
    <n v="2018"/>
    <s v="Q1"/>
    <s v="2018-Q1"/>
    <x v="46"/>
  </r>
  <r>
    <x v="35"/>
    <x v="35"/>
    <n v="43147"/>
    <d v="2018-02-16T00:00:00"/>
    <x v="2"/>
    <s v="Data"/>
    <s v="FTE"/>
    <n v="2018"/>
    <s v="Q1"/>
    <s v="2018-Q1"/>
    <x v="47"/>
  </r>
  <r>
    <x v="36"/>
    <x v="36"/>
    <n v="43717"/>
    <d v="2019-09-09T00:00:00"/>
    <x v="3"/>
    <s v="AI"/>
    <s v="FTE"/>
    <n v="2019"/>
    <s v="Q3"/>
    <s v="2019-Q3"/>
    <x v="36"/>
  </r>
  <r>
    <x v="36"/>
    <x v="36"/>
    <n v="43717"/>
    <d v="2019-09-09T00:00:00"/>
    <x v="3"/>
    <s v="AI"/>
    <s v="FTE"/>
    <n v="2019"/>
    <s v="Q3"/>
    <s v="2019-Q3"/>
    <x v="5"/>
  </r>
  <r>
    <x v="37"/>
    <x v="37"/>
    <n v="44585"/>
    <d v="2022-01-24T00:00:00"/>
    <x v="6"/>
    <s v="Digital"/>
    <s v="Intern"/>
    <n v="2022"/>
    <s v="Q1"/>
    <s v="2022-Q1"/>
    <x v="6"/>
  </r>
  <r>
    <x v="38"/>
    <x v="38"/>
    <n v="42311"/>
    <d v="2015-11-03T00:00:00"/>
    <x v="4"/>
    <s v="Data"/>
    <s v="Freelancer"/>
    <n v="2015"/>
    <s v="Q4"/>
    <s v="2015-Q4"/>
    <x v="36"/>
  </r>
  <r>
    <x v="38"/>
    <x v="38"/>
    <n v="42311"/>
    <d v="2015-11-03T00:00:00"/>
    <x v="4"/>
    <s v="Data"/>
    <s v="Freelancer"/>
    <n v="2015"/>
    <s v="Q4"/>
    <s v="2015-Q4"/>
    <x v="48"/>
  </r>
  <r>
    <x v="39"/>
    <x v="39"/>
    <s v="2020.03.18"/>
    <d v="2020-03-18T00:00:00"/>
    <x v="3"/>
    <s v="AI"/>
    <s v="FTE"/>
    <n v="2020"/>
    <s v="Q1"/>
    <s v="2020-Q1"/>
    <x v="28"/>
  </r>
  <r>
    <x v="39"/>
    <x v="39"/>
    <s v="2020.03.18"/>
    <d v="2020-03-18T00:00:00"/>
    <x v="3"/>
    <s v="AI"/>
    <s v="FTE"/>
    <n v="2020"/>
    <s v="Q1"/>
    <s v="2020-Q1"/>
    <x v="38"/>
  </r>
  <r>
    <x v="40"/>
    <x v="40"/>
    <n v="44384"/>
    <d v="2021-07-07T00:00:00"/>
    <x v="6"/>
    <s v="Digital"/>
    <s v="Intern"/>
    <n v="2021"/>
    <s v="Q3"/>
    <s v="2021-Q3"/>
    <x v="28"/>
  </r>
  <r>
    <x v="41"/>
    <x v="41"/>
    <n v="43814"/>
    <d v="2019-12-15T00:00:00"/>
    <x v="3"/>
    <s v="Data"/>
    <s v="FTE"/>
    <n v="2019"/>
    <s v="Q4"/>
    <s v="2019-Q4"/>
    <x v="20"/>
  </r>
  <r>
    <x v="41"/>
    <x v="41"/>
    <n v="43814"/>
    <d v="2019-12-15T00:00:00"/>
    <x v="3"/>
    <s v="Data"/>
    <s v="FTE"/>
    <n v="2019"/>
    <s v="Q4"/>
    <s v="2019-Q4"/>
    <x v="49"/>
  </r>
  <r>
    <x v="42"/>
    <x v="42"/>
    <n v="42389"/>
    <d v="2016-01-20T00:00:00"/>
    <x v="2"/>
    <s v="AI"/>
    <s v="Freelancer"/>
    <n v="2016"/>
    <s v="Q1"/>
    <s v="2016-Q1"/>
    <x v="28"/>
  </r>
  <r>
    <x v="42"/>
    <x v="42"/>
    <n v="42389"/>
    <d v="2016-01-20T00:00:00"/>
    <x v="2"/>
    <s v="AI"/>
    <s v="Freelancer"/>
    <n v="2016"/>
    <s v="Q1"/>
    <s v="2016-Q1"/>
    <x v="50"/>
  </r>
  <r>
    <x v="43"/>
    <x v="43"/>
    <s v="11th dec 2024"/>
    <d v="2024-12-11T00:00:00"/>
    <x v="3"/>
    <s v="Digital"/>
    <s v="FTE"/>
    <n v="2024"/>
    <s v="Q4"/>
    <s v="2024-Q4"/>
    <x v="33"/>
  </r>
  <r>
    <x v="44"/>
    <x v="44"/>
    <n v="43226"/>
    <d v="2018-05-06T00:00:00"/>
    <x v="7"/>
    <s v="Data"/>
    <s v="FTE"/>
    <n v="2018"/>
    <s v="Q2"/>
    <s v="2018-Q2"/>
    <x v="19"/>
  </r>
  <r>
    <x v="44"/>
    <x v="44"/>
    <n v="43226"/>
    <d v="2018-05-06T00:00:00"/>
    <x v="7"/>
    <s v="Data"/>
    <s v="FTE"/>
    <n v="2018"/>
    <s v="Q2"/>
    <s v="2018-Q2"/>
    <x v="22"/>
  </r>
  <r>
    <x v="45"/>
    <x v="45"/>
    <n v="44653"/>
    <d v="2022-04-02T00:00:00"/>
    <x v="6"/>
    <s v="AI"/>
    <s v="Intern"/>
    <n v="2022"/>
    <s v="Q2"/>
    <s v="2022-Q2"/>
    <x v="51"/>
  </r>
  <r>
    <x v="45"/>
    <x v="45"/>
    <n v="44653"/>
    <d v="2022-04-02T00:00:00"/>
    <x v="6"/>
    <s v="AI"/>
    <s v="Intern"/>
    <n v="2022"/>
    <s v="Q2"/>
    <s v="2022-Q2"/>
    <x v="18"/>
  </r>
  <r>
    <x v="46"/>
    <x v="46"/>
    <n v="43036"/>
    <d v="2017-10-28T00:00:00"/>
    <x v="3"/>
    <s v="Digital"/>
    <s v="Freelancer"/>
    <n v="2017"/>
    <s v="Q4"/>
    <s v="2017-Q4"/>
    <x v="52"/>
  </r>
  <r>
    <x v="46"/>
    <x v="46"/>
    <n v="43036"/>
    <d v="2017-10-28T00:00:00"/>
    <x v="3"/>
    <s v="Digital"/>
    <s v="Freelancer"/>
    <n v="2017"/>
    <s v="Q4"/>
    <s v="2017-Q4"/>
    <x v="53"/>
  </r>
  <r>
    <x v="47"/>
    <x v="47"/>
    <n v="43617"/>
    <d v="2019-06-01T00:00:00"/>
    <x v="6"/>
    <s v="Data"/>
    <s v="FTE"/>
    <n v="2019"/>
    <s v="Q2"/>
    <s v="2019-Q2"/>
    <x v="54"/>
  </r>
  <r>
    <x v="47"/>
    <x v="47"/>
    <n v="43617"/>
    <d v="2019-06-01T00:00:00"/>
    <x v="6"/>
    <s v="Data"/>
    <s v="FTE"/>
    <n v="2019"/>
    <s v="Q2"/>
    <s v="2019-Q2"/>
    <x v="55"/>
  </r>
  <r>
    <x v="48"/>
    <x v="48"/>
    <n v="42049"/>
    <d v="2015-02-14T00:00:00"/>
    <x v="5"/>
    <s v="AI"/>
    <s v="Freelancer"/>
    <n v="2015"/>
    <s v="Q1"/>
    <s v="2015-Q1"/>
    <x v="40"/>
  </r>
  <r>
    <x v="48"/>
    <x v="48"/>
    <n v="42049"/>
    <d v="2015-02-14T00:00:00"/>
    <x v="5"/>
    <s v="AI"/>
    <s v="Freelancer"/>
    <n v="2015"/>
    <s v="Q1"/>
    <s v="2015-Q1"/>
    <x v="14"/>
  </r>
  <r>
    <x v="49"/>
    <x v="49"/>
    <s v="09th jan 2023"/>
    <d v="2023-01-09T00:00:00"/>
    <x v="6"/>
    <s v="Digital"/>
    <s v="Intern"/>
    <n v="2023"/>
    <s v="Q1"/>
    <s v="2023-Q1"/>
    <x v="39"/>
  </r>
  <r>
    <x v="50"/>
    <x v="50"/>
    <n v="43536"/>
    <d v="2019-03-12T00:00:00"/>
    <x v="3"/>
    <s v="QA"/>
    <s v="FTE"/>
    <n v="2019"/>
    <s v="Q1"/>
    <s v="2019-Q1"/>
    <x v="33"/>
  </r>
  <r>
    <x v="50"/>
    <x v="50"/>
    <n v="43536"/>
    <d v="2019-03-12T00:00:00"/>
    <x v="3"/>
    <s v="QA"/>
    <s v="FTE"/>
    <n v="2019"/>
    <s v="Q1"/>
    <s v="2019-Q1"/>
    <x v="56"/>
  </r>
  <r>
    <x v="51"/>
    <x v="51"/>
    <n v="43933"/>
    <d v="2020-04-12T00:00:00"/>
    <x v="6"/>
    <s v="Design"/>
    <s v="Intern"/>
    <n v="2020"/>
    <s v="Q2"/>
    <s v="2020-Q2"/>
    <x v="52"/>
  </r>
  <r>
    <x v="52"/>
    <x v="52"/>
    <n v="43282"/>
    <d v="2018-07-01T00:00:00"/>
    <x v="4"/>
    <s v="PMO"/>
    <s v="FTE"/>
    <n v="2018"/>
    <s v="Q3"/>
    <s v="2018-Q3"/>
    <x v="13"/>
  </r>
  <r>
    <x v="52"/>
    <x v="52"/>
    <n v="43282"/>
    <d v="2018-07-01T00:00:00"/>
    <x v="4"/>
    <s v="PMO"/>
    <s v="FTE"/>
    <n v="2018"/>
    <s v="Q3"/>
    <s v="2018-Q3"/>
    <x v="57"/>
  </r>
  <r>
    <x v="53"/>
    <x v="53"/>
    <n v="44440"/>
    <d v="2021-09-01T00:00:00"/>
    <x v="3"/>
    <s v="QA"/>
    <s v="FTE"/>
    <n v="2021"/>
    <s v="Q3"/>
    <s v="2021-Q3"/>
    <x v="21"/>
  </r>
  <r>
    <x v="53"/>
    <x v="53"/>
    <n v="44440"/>
    <d v="2021-09-01T00:00:00"/>
    <x v="3"/>
    <s v="QA"/>
    <s v="FTE"/>
    <n v="2021"/>
    <s v="Q3"/>
    <s v="2021-Q3"/>
    <x v="58"/>
  </r>
  <r>
    <x v="54"/>
    <x v="54"/>
    <n v="43054"/>
    <d v="2017-11-15T00:00:00"/>
    <x v="2"/>
    <s v="Cloud"/>
    <s v="FTE"/>
    <n v="2017"/>
    <s v="Q4"/>
    <s v="2017-Q4"/>
    <x v="59"/>
  </r>
  <r>
    <x v="54"/>
    <x v="54"/>
    <n v="43054"/>
    <d v="2017-11-15T00:00:00"/>
    <x v="2"/>
    <s v="Cloud"/>
    <s v="FTE"/>
    <n v="2017"/>
    <s v="Q4"/>
    <s v="2017-Q4"/>
    <x v="60"/>
  </r>
  <r>
    <x v="55"/>
    <x v="55"/>
    <n v="42420"/>
    <d v="2016-02-20T00:00:00"/>
    <x v="3"/>
    <s v="Support"/>
    <s v="FTE"/>
    <n v="2016"/>
    <s v="Q1"/>
    <s v="2016-Q1"/>
    <x v="61"/>
  </r>
  <r>
    <x v="55"/>
    <x v="55"/>
    <n v="42420"/>
    <d v="2016-02-20T00:00:00"/>
    <x v="3"/>
    <s v="Support"/>
    <s v="FTE"/>
    <n v="2016"/>
    <s v="Q1"/>
    <s v="2016-Q1"/>
    <x v="5"/>
  </r>
  <r>
    <x v="56"/>
    <x v="56"/>
    <s v="2019.05.09"/>
    <d v="2019-05-09T00:00:00"/>
    <x v="6"/>
    <s v="Design"/>
    <s v="FTE"/>
    <n v="2019"/>
    <s v="Q2"/>
    <s v="2019-Q2"/>
    <x v="52"/>
  </r>
  <r>
    <x v="56"/>
    <x v="56"/>
    <s v="2019.05.09"/>
    <d v="2019-05-09T00:00:00"/>
    <x v="6"/>
    <s v="Design"/>
    <s v="FTE"/>
    <n v="2019"/>
    <s v="Q2"/>
    <s v="2019-Q2"/>
    <x v="30"/>
  </r>
  <r>
    <x v="57"/>
    <x v="57"/>
    <n v="44060"/>
    <d v="2020-08-17T00:00:00"/>
    <x v="3"/>
    <s v="QA"/>
    <s v="FTE"/>
    <n v="2020"/>
    <s v="Q3"/>
    <s v="2020-Q3"/>
    <x v="26"/>
  </r>
  <r>
    <x v="57"/>
    <x v="57"/>
    <n v="44060"/>
    <d v="2020-08-17T00:00:00"/>
    <x v="3"/>
    <s v="QA"/>
    <s v="FTE"/>
    <n v="2020"/>
    <s v="Q3"/>
    <s v="2020-Q3"/>
    <x v="62"/>
  </r>
  <r>
    <x v="58"/>
    <x v="58"/>
    <n v="43125"/>
    <d v="2018-01-25T00:00:00"/>
    <x v="7"/>
    <s v="PMO"/>
    <s v="FTE"/>
    <n v="2018"/>
    <s v="Q1"/>
    <s v="2018-Q1"/>
    <x v="54"/>
  </r>
  <r>
    <x v="58"/>
    <x v="58"/>
    <n v="43125"/>
    <d v="2018-01-25T00:00:00"/>
    <x v="7"/>
    <s v="PMO"/>
    <s v="FTE"/>
    <n v="2018"/>
    <s v="Q1"/>
    <s v="2018-Q1"/>
    <x v="62"/>
  </r>
  <r>
    <x v="58"/>
    <x v="58"/>
    <n v="43125"/>
    <d v="2018-01-25T00:00:00"/>
    <x v="7"/>
    <s v="PMO"/>
    <s v="FTE"/>
    <n v="2018"/>
    <s v="Q1"/>
    <s v="2018-Q1"/>
    <x v="63"/>
  </r>
  <r>
    <x v="59"/>
    <x v="59"/>
    <n v="44361"/>
    <d v="2021-06-14T00:00:00"/>
    <x v="6"/>
    <s v="Design"/>
    <s v="FTE"/>
    <n v="2021"/>
    <s v="Q2"/>
    <s v="2021-Q2"/>
    <x v="64"/>
  </r>
  <r>
    <x v="59"/>
    <x v="59"/>
    <n v="44361"/>
    <d v="2021-06-14T00:00:00"/>
    <x v="6"/>
    <s v="Design"/>
    <s v="FTE"/>
    <n v="2021"/>
    <s v="Q2"/>
    <s v="2021-Q2"/>
    <x v="42"/>
  </r>
  <r>
    <x v="60"/>
    <x v="60"/>
    <n v="42981"/>
    <d v="2017-09-03T00:00:00"/>
    <x v="3"/>
    <s v="Cloud"/>
    <s v="FTE"/>
    <n v="2017"/>
    <s v="Q3"/>
    <s v="2017-Q3"/>
    <x v="65"/>
  </r>
  <r>
    <x v="60"/>
    <x v="60"/>
    <n v="42981"/>
    <d v="2017-09-03T00:00:00"/>
    <x v="3"/>
    <s v="Cloud"/>
    <s v="FTE"/>
    <n v="2017"/>
    <s v="Q3"/>
    <s v="2017-Q3"/>
    <x v="32"/>
  </r>
  <r>
    <x v="61"/>
    <x v="61"/>
    <n v="43810"/>
    <d v="2019-12-11T00:00:00"/>
    <x v="3"/>
    <s v="Support"/>
    <s v="FTE"/>
    <n v="2019"/>
    <s v="Q4"/>
    <s v="2019-Q4"/>
    <x v="66"/>
  </r>
  <r>
    <x v="61"/>
    <x v="61"/>
    <n v="43810"/>
    <d v="2019-12-11T00:00:00"/>
    <x v="3"/>
    <s v="Support"/>
    <s v="FTE"/>
    <n v="2019"/>
    <s v="Q4"/>
    <s v="2019-Q4"/>
    <x v="24"/>
  </r>
  <r>
    <x v="62"/>
    <x v="62"/>
    <n v="42479"/>
    <d v="2016-04-19T00:00:00"/>
    <x v="2"/>
    <s v="QA"/>
    <s v="FTE"/>
    <n v="2016"/>
    <s v="Q2"/>
    <s v="2016-Q2"/>
    <x v="67"/>
  </r>
  <r>
    <x v="62"/>
    <x v="62"/>
    <n v="42479"/>
    <d v="2016-04-19T00:00:00"/>
    <x v="2"/>
    <s v="QA"/>
    <s v="FTE"/>
    <n v="2016"/>
    <s v="Q2"/>
    <s v="2016-Q2"/>
    <x v="60"/>
  </r>
  <r>
    <x v="62"/>
    <x v="62"/>
    <n v="42479"/>
    <d v="2016-04-19T00:00:00"/>
    <x v="2"/>
    <s v="QA"/>
    <s v="FTE"/>
    <n v="2016"/>
    <s v="Q2"/>
    <s v="2016-Q2"/>
    <x v="58"/>
  </r>
  <r>
    <x v="63"/>
    <x v="63"/>
    <n v="44599"/>
    <d v="2022-02-07T00:00:00"/>
    <x v="6"/>
    <s v="Design"/>
    <s v="Intern"/>
    <n v="2022"/>
    <s v="Q1"/>
    <s v="2022-Q1"/>
    <x v="11"/>
  </r>
  <r>
    <x v="64"/>
    <x v="64"/>
    <s v="2018.10.22"/>
    <d v="2018-10-22T00:00:00"/>
    <x v="3"/>
    <s v="PMO"/>
    <s v="FTE"/>
    <n v="2018"/>
    <s v="Q4"/>
    <s v="2018-Q4"/>
    <x v="59"/>
  </r>
  <r>
    <x v="64"/>
    <x v="64"/>
    <s v="2018.10.22"/>
    <d v="2018-10-22T00:00:00"/>
    <x v="3"/>
    <s v="PMO"/>
    <s v="FTE"/>
    <n v="2018"/>
    <s v="Q4"/>
    <s v="2018-Q4"/>
    <x v="68"/>
  </r>
  <r>
    <x v="65"/>
    <x v="65"/>
    <n v="43860"/>
    <d v="2020-01-30T00:00:00"/>
    <x v="7"/>
    <s v="Cloud"/>
    <s v="FTE"/>
    <n v="2020"/>
    <s v="Q1"/>
    <s v="2020-Q1"/>
    <x v="0"/>
  </r>
  <r>
    <x v="65"/>
    <x v="65"/>
    <n v="43860"/>
    <d v="2020-01-30T00:00:00"/>
    <x v="7"/>
    <s v="Cloud"/>
    <s v="FTE"/>
    <n v="2020"/>
    <s v="Q1"/>
    <s v="2020-Q1"/>
    <x v="69"/>
  </r>
  <r>
    <x v="65"/>
    <x v="65"/>
    <n v="43860"/>
    <d v="2020-01-30T00:00:00"/>
    <x v="7"/>
    <s v="Cloud"/>
    <s v="FTE"/>
    <n v="2020"/>
    <s v="Q1"/>
    <s v="2020-Q1"/>
    <x v="57"/>
  </r>
  <r>
    <x v="66"/>
    <x v="66"/>
    <n v="43621"/>
    <d v="2019-06-05T00:00:00"/>
    <x v="3"/>
    <s v="Support"/>
    <s v="FTE"/>
    <n v="2019"/>
    <s v="Q2"/>
    <s v="2019-Q2"/>
    <x v="51"/>
  </r>
  <r>
    <x v="67"/>
    <x v="67"/>
    <n v="44273"/>
    <d v="2021-03-18T00:00:00"/>
    <x v="6"/>
    <s v="QA"/>
    <s v="Intern"/>
    <n v="2021"/>
    <s v="Q1"/>
    <s v="2021-Q1"/>
    <x v="20"/>
  </r>
  <r>
    <x v="68"/>
    <x v="68"/>
    <n v="42943"/>
    <d v="2017-07-27T00:00:00"/>
    <x v="3"/>
    <s v="Design"/>
    <s v="FTE"/>
    <n v="2017"/>
    <s v="Q3"/>
    <s v="2017-Q3"/>
    <x v="26"/>
  </r>
  <r>
    <x v="68"/>
    <x v="68"/>
    <n v="42943"/>
    <d v="2017-07-27T00:00:00"/>
    <x v="3"/>
    <s v="Design"/>
    <s v="FTE"/>
    <n v="2017"/>
    <s v="Q3"/>
    <s v="2017-Q3"/>
    <x v="7"/>
  </r>
  <r>
    <x v="69"/>
    <x v="69"/>
    <n v="44692"/>
    <d v="2022-05-11T00:00:00"/>
    <x v="6"/>
    <s v="PMO"/>
    <s v="Intern"/>
    <n v="2022"/>
    <s v="Q2"/>
    <s v="2022-Q2"/>
    <x v="70"/>
  </r>
  <r>
    <x v="70"/>
    <x v="70"/>
    <n v="42627"/>
    <d v="2016-09-14T00:00:00"/>
    <x v="2"/>
    <s v="Cloud"/>
    <s v="FTE"/>
    <n v="2016"/>
    <s v="Q3"/>
    <s v="2016-Q3"/>
    <x v="71"/>
  </r>
  <r>
    <x v="70"/>
    <x v="70"/>
    <n v="42627"/>
    <d v="2016-09-14T00:00:00"/>
    <x v="2"/>
    <s v="Cloud"/>
    <s v="FTE"/>
    <n v="2016"/>
    <s v="Q3"/>
    <s v="2016-Q3"/>
    <x v="46"/>
  </r>
  <r>
    <x v="71"/>
    <x v="71"/>
    <n v="43437"/>
    <d v="2018-12-03T00:00:00"/>
    <x v="3"/>
    <s v="QA"/>
    <s v="FTE"/>
    <n v="2018"/>
    <s v="Q4"/>
    <s v="2018-Q4"/>
    <x v="67"/>
  </r>
  <r>
    <x v="71"/>
    <x v="71"/>
    <n v="43437"/>
    <d v="2018-12-03T00:00:00"/>
    <x v="3"/>
    <s v="QA"/>
    <s v="FTE"/>
    <n v="2018"/>
    <s v="Q4"/>
    <s v="2018-Q4"/>
    <x v="72"/>
  </r>
  <r>
    <x v="72"/>
    <x v="72"/>
    <n v="43581"/>
    <d v="2019-04-26T00:00:00"/>
    <x v="7"/>
    <s v="Design"/>
    <s v="FTE"/>
    <n v="2019"/>
    <s v="Q2"/>
    <s v="2019-Q2"/>
    <x v="73"/>
  </r>
  <r>
    <x v="72"/>
    <x v="72"/>
    <n v="43581"/>
    <d v="2019-04-26T00:00:00"/>
    <x v="7"/>
    <s v="Design"/>
    <s v="FTE"/>
    <n v="2019"/>
    <s v="Q2"/>
    <s v="2019-Q2"/>
    <x v="34"/>
  </r>
  <r>
    <x v="72"/>
    <x v="72"/>
    <n v="43581"/>
    <d v="2019-04-26T00:00:00"/>
    <x v="7"/>
    <s v="Design"/>
    <s v="FTE"/>
    <n v="2019"/>
    <s v="Q2"/>
    <s v="2019-Q2"/>
    <x v="47"/>
  </r>
  <r>
    <x v="73"/>
    <x v="73"/>
    <n v="44385"/>
    <d v="2021-07-08T00:00:00"/>
    <x v="6"/>
    <s v="Support"/>
    <s v="FTE"/>
    <n v="2021"/>
    <s v="Q3"/>
    <s v="2021-Q3"/>
    <x v="74"/>
  </r>
  <r>
    <x v="73"/>
    <x v="73"/>
    <n v="44385"/>
    <d v="2021-07-08T00:00:00"/>
    <x v="6"/>
    <s v="Support"/>
    <s v="FTE"/>
    <n v="2021"/>
    <s v="Q3"/>
    <s v="2021-Q3"/>
    <x v="50"/>
  </r>
  <r>
    <x v="74"/>
    <x v="74"/>
    <s v="2017.02.16"/>
    <d v="2017-02-16T00:00:00"/>
    <x v="3"/>
    <s v="PMO"/>
    <s v="FTE"/>
    <n v="2017"/>
    <s v="Q1"/>
    <s v="2017-Q1"/>
    <x v="75"/>
  </r>
  <r>
    <x v="74"/>
    <x v="74"/>
    <s v="2017.02.16"/>
    <d v="2017-02-16T00:00:00"/>
    <x v="3"/>
    <s v="PMO"/>
    <s v="FTE"/>
    <n v="2017"/>
    <s v="Q1"/>
    <s v="2017-Q1"/>
    <x v="76"/>
  </r>
  <r>
    <x v="75"/>
    <x v="75"/>
    <n v="44133"/>
    <d v="2020-10-29T00:00:00"/>
    <x v="3"/>
    <s v="QA"/>
    <s v="FTE"/>
    <n v="2020"/>
    <s v="Q4"/>
    <s v="2020-Q4"/>
    <x v="36"/>
  </r>
  <r>
    <x v="76"/>
    <x v="76"/>
    <n v="43113"/>
    <d v="2018-01-13T00:00:00"/>
    <x v="7"/>
    <s v="Cloud"/>
    <s v="FTE"/>
    <n v="2018"/>
    <s v="Q1"/>
    <s v="2018-Q1"/>
    <x v="6"/>
  </r>
  <r>
    <x v="77"/>
    <x v="77"/>
    <n v="44733"/>
    <d v="2022-06-21T00:00:00"/>
    <x v="6"/>
    <s v="Design"/>
    <s v="Intern"/>
    <n v="2022"/>
    <s v="Q2"/>
    <s v="2022-Q2"/>
    <x v="64"/>
  </r>
  <r>
    <x v="78"/>
    <x v="78"/>
    <n v="42494"/>
    <d v="2016-05-04T00:00:00"/>
    <x v="2"/>
    <s v="Support"/>
    <s v="FTE"/>
    <n v="2016"/>
    <s v="Q2"/>
    <s v="2016-Q2"/>
    <x v="77"/>
  </r>
  <r>
    <x v="78"/>
    <x v="78"/>
    <n v="42494"/>
    <d v="2016-05-04T00:00:00"/>
    <x v="2"/>
    <s v="Support"/>
    <s v="FTE"/>
    <n v="2016"/>
    <s v="Q2"/>
    <s v="2016-Q2"/>
    <x v="78"/>
  </r>
  <r>
    <x v="79"/>
    <x v="79"/>
    <n v="43788"/>
    <d v="2019-11-19T00:00:00"/>
    <x v="3"/>
    <s v="QA"/>
    <s v="FTE"/>
    <n v="2019"/>
    <s v="Q4"/>
    <s v="2019-Q4"/>
    <x v="27"/>
  </r>
  <r>
    <x v="79"/>
    <x v="79"/>
    <n v="43788"/>
    <d v="2019-11-19T00:00:00"/>
    <x v="3"/>
    <s v="QA"/>
    <s v="FTE"/>
    <n v="2019"/>
    <s v="Q4"/>
    <s v="2019-Q4"/>
    <x v="79"/>
  </r>
  <r>
    <x v="80"/>
    <x v="80"/>
    <n v="42801"/>
    <d v="2017-03-07T00:00:00"/>
    <x v="3"/>
    <s v="Cloud"/>
    <s v="Intern"/>
    <n v="2017"/>
    <s v="Q1"/>
    <s v="2017-Q1"/>
    <x v="80"/>
  </r>
  <r>
    <x v="80"/>
    <x v="80"/>
    <n v="42801"/>
    <d v="2017-03-07T00:00:00"/>
    <x v="3"/>
    <s v="Cloud"/>
    <s v="Intern"/>
    <n v="2017"/>
    <s v="Q1"/>
    <s v="2017-Q1"/>
    <x v="78"/>
  </r>
  <r>
    <x v="81"/>
    <x v="81"/>
    <n v="43788"/>
    <d v="2019-11-19T00:00:00"/>
    <x v="3"/>
    <s v="Cloud"/>
    <s v="FTE"/>
    <n v="2019"/>
    <s v="Q4"/>
    <s v="2019-Q4"/>
    <x v="81"/>
  </r>
  <r>
    <x v="82"/>
    <x v="82"/>
    <s v="2020.09.02"/>
    <d v="2020-09-02T00:00:00"/>
    <x v="6"/>
    <s v="Design"/>
    <s v="Intern"/>
    <n v="2020"/>
    <s v="Q3"/>
    <s v="2020-Q3"/>
    <x v="26"/>
  </r>
  <r>
    <x v="83"/>
    <x v="83"/>
    <n v="43340"/>
    <d v="2018-08-28T00:00:00"/>
    <x v="3"/>
    <s v="PMO"/>
    <s v="FTE"/>
    <n v="2018"/>
    <s v="Q3"/>
    <s v="2018-Q3"/>
    <x v="21"/>
  </r>
  <r>
    <x v="84"/>
    <x v="84"/>
    <n v="44212"/>
    <d v="2021-01-16T00:00:00"/>
    <x v="6"/>
    <s v="Support"/>
    <s v="FTE"/>
    <n v="2021"/>
    <s v="Q1"/>
    <s v="2021-Q1"/>
    <x v="82"/>
  </r>
  <r>
    <x v="85"/>
    <x v="85"/>
    <n v="42713"/>
    <d v="2016-12-09T00:00:00"/>
    <x v="7"/>
    <s v="QA"/>
    <s v="FTE"/>
    <n v="2016"/>
    <s v="Q4"/>
    <s v="2016-Q4"/>
    <x v="74"/>
  </r>
  <r>
    <x v="85"/>
    <x v="85"/>
    <n v="42713"/>
    <d v="2016-12-09T00:00:00"/>
    <x v="7"/>
    <s v="QA"/>
    <s v="FTE"/>
    <n v="2016"/>
    <s v="Q4"/>
    <s v="2016-Q4"/>
    <x v="72"/>
  </r>
  <r>
    <x v="85"/>
    <x v="85"/>
    <n v="42713"/>
    <d v="2016-12-09T00:00:00"/>
    <x v="7"/>
    <s v="QA"/>
    <s v="FTE"/>
    <n v="2016"/>
    <s v="Q4"/>
    <s v="2016-Q4"/>
    <x v="55"/>
  </r>
  <r>
    <x v="86"/>
    <x v="86"/>
    <n v="43616"/>
    <d v="2019-05-31T00:00:00"/>
    <x v="3"/>
    <s v="Design"/>
    <s v="FTE"/>
    <n v="2019"/>
    <s v="Q2"/>
    <s v="2019-Q2"/>
    <x v="39"/>
  </r>
  <r>
    <x v="86"/>
    <x v="86"/>
    <n v="43616"/>
    <d v="2019-05-31T00:00:00"/>
    <x v="3"/>
    <s v="Design"/>
    <s v="FTE"/>
    <n v="2019"/>
    <s v="Q2"/>
    <s v="2019-Q2"/>
    <x v="53"/>
  </r>
  <r>
    <x v="87"/>
    <x v="87"/>
    <n v="42909"/>
    <d v="2017-06-23T00:00:00"/>
    <x v="2"/>
    <s v="Cloud"/>
    <s v="FTE"/>
    <n v="2017"/>
    <s v="Q2"/>
    <s v="2017-Q2"/>
    <x v="61"/>
  </r>
  <r>
    <x v="88"/>
    <x v="88"/>
    <n v="44624"/>
    <d v="2022-03-04T00:00:00"/>
    <x v="6"/>
    <s v="PMO"/>
    <s v="Intern"/>
    <n v="2022"/>
    <s v="Q1"/>
    <s v="2022-Q1"/>
    <x v="83"/>
  </r>
  <r>
    <x v="89"/>
    <x v="89"/>
    <n v="43390"/>
    <d v="2018-10-17T00:00:00"/>
    <x v="3"/>
    <s v="Support"/>
    <s v="FTE"/>
    <n v="2018"/>
    <s v="Q4"/>
    <s v="2018-Q4"/>
    <x v="81"/>
  </r>
  <r>
    <x v="90"/>
    <x v="90"/>
    <n v="44024"/>
    <d v="2020-07-12T00:00:00"/>
    <x v="6"/>
    <s v="Design"/>
    <s v="FTE"/>
    <n v="2020"/>
    <s v="Q3"/>
    <s v="2020-Q3"/>
    <x v="2"/>
  </r>
  <r>
    <x v="91"/>
    <x v="91"/>
    <s v="2016.04.01"/>
    <d v="2016-04-01T00:00:00"/>
    <x v="3"/>
    <s v="QA"/>
    <s v="Intern"/>
    <n v="2016"/>
    <s v="Q2"/>
    <s v="2016-Q2"/>
    <x v="8"/>
  </r>
  <r>
    <x v="92"/>
    <x v="92"/>
    <n v="43510"/>
    <d v="2019-02-14T00:00:00"/>
    <x v="3"/>
    <s v="Cloud"/>
    <s v="FTE"/>
    <n v="2019"/>
    <s v="Q1"/>
    <s v="2019-Q1"/>
    <x v="73"/>
  </r>
  <r>
    <x v="92"/>
    <x v="92"/>
    <n v="43510"/>
    <d v="2019-02-14T00:00:00"/>
    <x v="3"/>
    <s v="Cloud"/>
    <s v="FTE"/>
    <n v="2019"/>
    <s v="Q1"/>
    <s v="2019-Q1"/>
    <x v="57"/>
  </r>
  <r>
    <x v="93"/>
    <x v="93"/>
    <n v="42973"/>
    <d v="2017-08-26T00:00:00"/>
    <x v="7"/>
    <s v="PMO"/>
    <s v="FTE"/>
    <n v="2017"/>
    <s v="Q3"/>
    <s v="2017-Q3"/>
    <x v="67"/>
  </r>
  <r>
    <x v="93"/>
    <x v="93"/>
    <n v="42973"/>
    <d v="2017-08-26T00:00:00"/>
    <x v="7"/>
    <s v="PMO"/>
    <s v="FTE"/>
    <n v="2017"/>
    <s v="Q3"/>
    <s v="2017-Q3"/>
    <x v="69"/>
  </r>
  <r>
    <x v="94"/>
    <x v="94"/>
    <n v="44506"/>
    <d v="2021-11-06T00:00:00"/>
    <x v="6"/>
    <s v="Support"/>
    <s v="FTE"/>
    <n v="2021"/>
    <s v="Q4"/>
    <s v="2021-Q4"/>
    <x v="66"/>
  </r>
  <r>
    <x v="94"/>
    <x v="94"/>
    <n v="44506"/>
    <d v="2021-11-06T00:00:00"/>
    <x v="6"/>
    <s v="Support"/>
    <s v="FTE"/>
    <n v="2021"/>
    <s v="Q4"/>
    <s v="2021-Q4"/>
    <x v="84"/>
  </r>
  <r>
    <x v="95"/>
    <x v="95"/>
    <n v="43269"/>
    <d v="2018-06-18T00:00:00"/>
    <x v="2"/>
    <s v="QA"/>
    <s v="FTE"/>
    <n v="2018"/>
    <s v="Q2"/>
    <s v="2018-Q2"/>
    <x v="65"/>
  </r>
  <r>
    <x v="95"/>
    <x v="95"/>
    <n v="43269"/>
    <d v="2018-06-18T00:00:00"/>
    <x v="2"/>
    <s v="QA"/>
    <s v="FTE"/>
    <n v="2018"/>
    <s v="Q2"/>
    <s v="2018-Q2"/>
    <x v="85"/>
  </r>
  <r>
    <x v="96"/>
    <x v="96"/>
    <n v="43870"/>
    <d v="2020-02-09T00:00:00"/>
    <x v="3"/>
    <s v="Design"/>
    <s v="FTE"/>
    <n v="2020"/>
    <s v="Q1"/>
    <s v="2020-Q1"/>
    <x v="17"/>
  </r>
  <r>
    <x v="96"/>
    <x v="96"/>
    <n v="43870"/>
    <d v="2020-02-09T00:00:00"/>
    <x v="3"/>
    <s v="Design"/>
    <s v="FTE"/>
    <n v="2020"/>
    <s v="Q1"/>
    <s v="2020-Q1"/>
    <x v="29"/>
  </r>
  <r>
    <x v="97"/>
    <x v="97"/>
    <n v="42643"/>
    <d v="2016-09-30T00:00:00"/>
    <x v="3"/>
    <s v="Cloud"/>
    <s v="Intern"/>
    <n v="2016"/>
    <s v="Q3"/>
    <s v="2016-Q3"/>
    <x v="70"/>
  </r>
  <r>
    <x v="98"/>
    <x v="98"/>
    <n v="43470"/>
    <d v="2019-01-05T00:00:00"/>
    <x v="6"/>
    <s v="PMO"/>
    <s v="Intern"/>
    <n v="2019"/>
    <s v="Q1"/>
    <s v="2019-Q1"/>
    <x v="71"/>
  </r>
  <r>
    <x v="99"/>
    <x v="99"/>
    <n v="42816"/>
    <d v="2017-03-22T00:00:00"/>
    <x v="7"/>
    <s v="Support"/>
    <s v="FTE"/>
    <n v="2017"/>
    <s v="Q1"/>
    <s v="2017-Q1"/>
    <x v="71"/>
  </r>
  <r>
    <x v="100"/>
    <x v="100"/>
    <n v="44774"/>
    <d v="2022-08-01T00:00:00"/>
    <x v="6"/>
    <s v="QA"/>
    <s v="Intern"/>
    <n v="2022"/>
    <s v="Q3"/>
    <s v="2022-Q3"/>
    <x v="74"/>
  </r>
  <r>
    <x v="101"/>
    <x v="101"/>
    <n v="45333"/>
    <d v="2024-02-11T00:00:00"/>
    <x v="0"/>
    <s v="Design"/>
    <s v="FTE"/>
    <n v="2024"/>
    <s v="Q1"/>
    <s v="2024-Q1"/>
    <x v="44"/>
  </r>
  <r>
    <x v="101"/>
    <x v="101"/>
    <n v="45333"/>
    <d v="2024-02-11T00:00:00"/>
    <x v="0"/>
    <s v="Design"/>
    <s v="FTE"/>
    <n v="2024"/>
    <s v="Q1"/>
    <s v="2024-Q1"/>
    <x v="48"/>
  </r>
  <r>
    <x v="102"/>
    <x v="102"/>
    <n v="46003"/>
    <d v="2025-12-12T00:00:00"/>
    <x v="2"/>
    <s v="Design"/>
    <s v="Intern"/>
    <n v="2025"/>
    <s v="Q4"/>
    <s v="2025-Q4"/>
    <x v="86"/>
  </r>
  <r>
    <x v="103"/>
    <x v="103"/>
    <m/>
    <m/>
    <x v="1"/>
    <s v="QA"/>
    <s v="FTE"/>
    <s v="Missing"/>
    <s v="Missing"/>
    <s v="Missing"/>
    <x v="87"/>
  </r>
  <r>
    <x v="103"/>
    <x v="103"/>
    <m/>
    <m/>
    <x v="1"/>
    <s v="QA"/>
    <s v="FTE"/>
    <s v="Missing"/>
    <s v="Missing"/>
    <s v="Missing"/>
    <x v="88"/>
  </r>
  <r>
    <x v="104"/>
    <x v="104"/>
    <s v="2025.12.23"/>
    <d v="2025-12-23T00:00:00"/>
    <x v="2"/>
    <s v="QA"/>
    <s v="FTE"/>
    <n v="2025"/>
    <s v="Q4"/>
    <s v="2025-Q4"/>
    <x v="89"/>
  </r>
  <r>
    <x v="104"/>
    <x v="104"/>
    <s v="2025.12.23"/>
    <d v="2025-12-23T00:00:00"/>
    <x v="2"/>
    <s v="QA"/>
    <s v="FTE"/>
    <n v="2025"/>
    <s v="Q4"/>
    <s v="2025-Q4"/>
    <x v="79"/>
  </r>
  <r>
    <x v="105"/>
    <x v="105"/>
    <s v="12-31-25"/>
    <d v="2025-12-31T00:00:00"/>
    <x v="8"/>
    <s v="QA"/>
    <s v="Intern"/>
    <n v="2025"/>
    <s v="Q4"/>
    <s v="2025-Q4"/>
    <x v="75"/>
  </r>
  <r>
    <x v="106"/>
    <x v="106"/>
    <n v="46003"/>
    <d v="2025-12-12T00:00:00"/>
    <x v="8"/>
    <s v="QA"/>
    <s v="Freelancer"/>
    <n v="2025"/>
    <s v="Q4"/>
    <s v="2025-Q4"/>
    <x v="87"/>
  </r>
  <r>
    <x v="106"/>
    <x v="106"/>
    <n v="46003"/>
    <d v="2025-12-12T00:00:00"/>
    <x v="8"/>
    <s v="QA"/>
    <s v="Freelancer"/>
    <n v="2025"/>
    <s v="Q4"/>
    <s v="2025-Q4"/>
    <x v="85"/>
  </r>
  <r>
    <x v="107"/>
    <x v="107"/>
    <m/>
    <m/>
    <x v="5"/>
    <s v="AI"/>
    <s v="FTE"/>
    <s v="Missing"/>
    <s v="Missing"/>
    <s v="Missing"/>
    <x v="43"/>
  </r>
  <r>
    <x v="107"/>
    <x v="107"/>
    <m/>
    <m/>
    <x v="5"/>
    <s v="AI"/>
    <s v="FTE"/>
    <s v="Missing"/>
    <s v="Missing"/>
    <s v="Missing"/>
    <x v="23"/>
  </r>
  <r>
    <x v="108"/>
    <x v="108"/>
    <n v="42843"/>
    <d v="2017-04-18T00:00:00"/>
    <x v="0"/>
    <s v="AI"/>
    <s v="FTE"/>
    <n v="2017"/>
    <s v="Q2"/>
    <s v="2017-Q2"/>
    <x v="41"/>
  </r>
  <r>
    <x v="108"/>
    <x v="108"/>
    <n v="42843"/>
    <d v="2017-04-18T00:00:00"/>
    <x v="0"/>
    <s v="AI"/>
    <s v="FTE"/>
    <n v="2017"/>
    <s v="Q2"/>
    <s v="2017-Q2"/>
    <x v="1"/>
  </r>
  <r>
    <x v="109"/>
    <x v="109"/>
    <n v="45949"/>
    <d v="2025-10-19T00:00:00"/>
    <x v="6"/>
    <s v="AI"/>
    <s v="Intern"/>
    <n v="2025"/>
    <s v="Q4"/>
    <s v="2025-Q4"/>
    <x v="89"/>
  </r>
  <r>
    <x v="110"/>
    <x v="110"/>
    <n v="45281"/>
    <d v="2023-12-21T00:00:00"/>
    <x v="2"/>
    <s v="Data"/>
    <s v="FTE"/>
    <n v="2023"/>
    <s v="Q4"/>
    <s v="2023-Q4"/>
    <x v="54"/>
  </r>
  <r>
    <x v="110"/>
    <x v="110"/>
    <n v="45281"/>
    <d v="2023-12-21T00:00:00"/>
    <x v="2"/>
    <s v="Data"/>
    <s v="FTE"/>
    <n v="2023"/>
    <s v="Q4"/>
    <s v="2023-Q4"/>
    <x v="10"/>
  </r>
  <r>
    <x v="111"/>
    <x v="111"/>
    <s v="2016.12.31"/>
    <d v="2016-12-31T00:00:00"/>
    <x v="0"/>
    <s v="Data"/>
    <s v="FTE"/>
    <n v="2016"/>
    <s v="Q4"/>
    <s v="2016-Q4"/>
    <x v="90"/>
  </r>
  <r>
    <x v="111"/>
    <x v="111"/>
    <s v="2016.12.31"/>
    <d v="2016-12-31T00:00:00"/>
    <x v="0"/>
    <s v="Data"/>
    <s v="FTE"/>
    <n v="2016"/>
    <s v="Q4"/>
    <s v="2016-Q4"/>
    <x v="35"/>
  </r>
  <r>
    <x v="111"/>
    <x v="111"/>
    <s v="2016.12.31"/>
    <d v="2016-12-31T00:00:00"/>
    <x v="0"/>
    <s v="Data"/>
    <s v="FTE"/>
    <n v="2016"/>
    <s v="Q4"/>
    <s v="2016-Q4"/>
    <x v="48"/>
  </r>
  <r>
    <x v="45"/>
    <x v="45"/>
    <n v="44653"/>
    <d v="2022-04-02T00:00:00"/>
    <x v="6"/>
    <s v="AI"/>
    <s v="Intern"/>
    <n v="2022"/>
    <s v="Q2"/>
    <s v="2022-Q2"/>
    <x v="51"/>
  </r>
  <r>
    <x v="45"/>
    <x v="45"/>
    <n v="44653"/>
    <d v="2022-04-02T00:00:00"/>
    <x v="6"/>
    <s v="AI"/>
    <s v="Intern"/>
    <n v="2022"/>
    <s v="Q2"/>
    <s v="2022-Q2"/>
    <x v="18"/>
  </r>
  <r>
    <x v="112"/>
    <x v="112"/>
    <n v="45638"/>
    <d v="2024-12-12T00:00:00"/>
    <x v="6"/>
    <s v="Data"/>
    <s v="FTE"/>
    <n v="2024"/>
    <s v="Q4"/>
    <s v="2024-Q4"/>
    <x v="31"/>
  </r>
  <r>
    <x v="112"/>
    <x v="112"/>
    <n v="45638"/>
    <d v="2024-12-12T00:00:00"/>
    <x v="6"/>
    <s v="Data"/>
    <s v="FTE"/>
    <n v="2024"/>
    <s v="Q4"/>
    <s v="2024-Q4"/>
    <x v="58"/>
  </r>
  <r>
    <x v="113"/>
    <x v="113"/>
    <n v="44956"/>
    <d v="2023-01-30T00:00:00"/>
    <x v="2"/>
    <s v="Data"/>
    <s v="Freelancer"/>
    <n v="2023"/>
    <s v="Q1"/>
    <s v="2023-Q1"/>
    <x v="86"/>
  </r>
  <r>
    <x v="113"/>
    <x v="113"/>
    <n v="44956"/>
    <d v="2023-01-30T00:00:00"/>
    <x v="2"/>
    <s v="Data"/>
    <s v="Freelancer"/>
    <n v="2023"/>
    <s v="Q1"/>
    <s v="2023-Q1"/>
    <x v="76"/>
  </r>
  <r>
    <x v="114"/>
    <x v="114"/>
    <n v="43159"/>
    <d v="2018-02-28T00:00:00"/>
    <x v="2"/>
    <s v="Data"/>
    <s v="FTE"/>
    <n v="2018"/>
    <s v="Q1"/>
    <s v="2018-Q1"/>
    <x v="91"/>
  </r>
  <r>
    <x v="114"/>
    <x v="114"/>
    <n v="43159"/>
    <d v="2018-02-28T00:00:00"/>
    <x v="2"/>
    <s v="Data"/>
    <s v="FTE"/>
    <n v="2018"/>
    <s v="Q1"/>
    <s v="2018-Q1"/>
    <x v="37"/>
  </r>
  <r>
    <x v="114"/>
    <x v="114"/>
    <n v="43159"/>
    <d v="2018-02-28T00:00:00"/>
    <x v="2"/>
    <s v="Data"/>
    <s v="FTE"/>
    <n v="2018"/>
    <s v="Q1"/>
    <s v="2018-Q1"/>
    <x v="45"/>
  </r>
  <r>
    <x v="115"/>
    <x v="115"/>
    <n v="43865"/>
    <d v="2020-02-04T00:00:00"/>
    <x v="6"/>
    <s v="Data"/>
    <s v="Intern"/>
    <n v="2020"/>
    <s v="Q1"/>
    <s v="2020-Q1"/>
    <x v="92"/>
  </r>
  <r>
    <x v="116"/>
    <x v="116"/>
    <n v="44133"/>
    <d v="2020-10-29T00:00:00"/>
    <x v="6"/>
    <s v="Cloud"/>
    <s v="FTE"/>
    <n v="2020"/>
    <s v="Q4"/>
    <s v="2020-Q4"/>
    <x v="82"/>
  </r>
  <r>
    <x v="116"/>
    <x v="116"/>
    <n v="44133"/>
    <d v="2020-10-29T00:00:00"/>
    <x v="6"/>
    <s v="Cloud"/>
    <s v="FTE"/>
    <n v="2020"/>
    <s v="Q4"/>
    <s v="2020-Q4"/>
    <x v="69"/>
  </r>
  <r>
    <x v="117"/>
    <x v="117"/>
    <n v="42494"/>
    <d v="2016-05-04T00:00:00"/>
    <x v="2"/>
    <s v="Cloud"/>
    <s v="FTE"/>
    <n v="2016"/>
    <s v="Q2"/>
    <s v="2016-Q2"/>
    <x v="61"/>
  </r>
  <r>
    <x v="118"/>
    <x v="118"/>
    <n v="42816"/>
    <d v="2017-03-22T00:00:00"/>
    <x v="7"/>
    <s v="Cloud"/>
    <s v="FTE"/>
    <n v="2017"/>
    <s v="Q1"/>
    <s v="2017-Q1"/>
    <x v="15"/>
  </r>
  <r>
    <x v="118"/>
    <x v="118"/>
    <n v="42816"/>
    <d v="2017-03-22T00:00:00"/>
    <x v="7"/>
    <s v="Cloud"/>
    <s v="FTE"/>
    <n v="2017"/>
    <s v="Q1"/>
    <s v="2017-Q1"/>
    <x v="37"/>
  </r>
  <r>
    <x v="81"/>
    <x v="81"/>
    <n v="43788"/>
    <d v="2019-11-19T00:00:00"/>
    <x v="3"/>
    <s v="Cloud"/>
    <s v="FTE"/>
    <n v="2019"/>
    <s v="Q4"/>
    <s v="2019-Q4"/>
    <x v="81"/>
  </r>
  <r>
    <x v="119"/>
    <x v="119"/>
    <s v="2025.12.23"/>
    <d v="2025-12-23T00:00:00"/>
    <x v="3"/>
    <s v="Cloud"/>
    <s v="FTE"/>
    <n v="2025"/>
    <s v="Q4"/>
    <s v="2025-Q4"/>
    <x v="82"/>
  </r>
  <r>
    <x v="119"/>
    <x v="119"/>
    <s v="2025.12.23"/>
    <d v="2025-12-23T00:00:00"/>
    <x v="3"/>
    <s v="Cloud"/>
    <s v="FTE"/>
    <n v="2025"/>
    <s v="Q4"/>
    <s v="2025-Q4"/>
    <x v="84"/>
  </r>
  <r>
    <x v="120"/>
    <x v="120"/>
    <s v="12-31-25"/>
    <d v="2025-12-31T00:00:00"/>
    <x v="3"/>
    <s v="Cloud"/>
    <s v="Freelancer"/>
    <n v="2025"/>
    <s v="Q4"/>
    <s v="2025-Q4"/>
    <x v="92"/>
  </r>
  <r>
    <x v="120"/>
    <x v="120"/>
    <s v="12-31-25"/>
    <d v="2025-12-31T00:00:00"/>
    <x v="3"/>
    <s v="Cloud"/>
    <s v="Freelancer"/>
    <n v="2025"/>
    <s v="Q4"/>
    <s v="2025-Q4"/>
    <x v="93"/>
  </r>
  <r>
    <x v="121"/>
    <x v="121"/>
    <n v="42494"/>
    <d v="2016-05-04T00:00:00"/>
    <x v="6"/>
    <s v="Cloud"/>
    <s v="Freelancer"/>
    <n v="2016"/>
    <s v="Q2"/>
    <s v="2016-Q2"/>
    <x v="73"/>
  </r>
  <r>
    <x v="121"/>
    <x v="121"/>
    <n v="42494"/>
    <d v="2016-05-04T00:00:00"/>
    <x v="6"/>
    <s v="Cloud"/>
    <s v="Freelancer"/>
    <n v="2016"/>
    <s v="Q2"/>
    <s v="2016-Q2"/>
    <x v="63"/>
  </r>
  <r>
    <x v="122"/>
    <x v="122"/>
    <s v="2020.09.02"/>
    <d v="2020-09-02T00:00:00"/>
    <x v="5"/>
    <s v="Cloud"/>
    <s v="FTE"/>
    <n v="2020"/>
    <s v="Q3"/>
    <s v="2020-Q3"/>
    <x v="83"/>
  </r>
  <r>
    <x v="122"/>
    <x v="122"/>
    <s v="2020.09.02"/>
    <d v="2020-09-02T00:00:00"/>
    <x v="5"/>
    <s v="Cloud"/>
    <s v="FTE"/>
    <n v="2020"/>
    <s v="Q3"/>
    <s v="2020-Q3"/>
    <x v="94"/>
  </r>
  <r>
    <x v="123"/>
    <x v="123"/>
    <n v="43860"/>
    <d v="2020-01-30T00:00:00"/>
    <x v="2"/>
    <s v="Support"/>
    <s v="FTE"/>
    <n v="2020"/>
    <s v="Q1"/>
    <s v="2020-Q1"/>
    <x v="80"/>
  </r>
  <r>
    <x v="123"/>
    <x v="123"/>
    <n v="43860"/>
    <d v="2020-01-30T00:00:00"/>
    <x v="2"/>
    <s v="Support"/>
    <s v="FTE"/>
    <n v="2020"/>
    <s v="Q1"/>
    <s v="2020-Q1"/>
    <x v="94"/>
  </r>
  <r>
    <x v="124"/>
    <x v="124"/>
    <n v="42801"/>
    <d v="2017-03-07T00:00:00"/>
    <x v="6"/>
    <s v="Support"/>
    <s v="FTE"/>
    <n v="2017"/>
    <s v="Q1"/>
    <s v="2017-Q1"/>
    <x v="43"/>
  </r>
  <r>
    <x v="125"/>
    <x v="125"/>
    <n v="44733"/>
    <d v="2022-06-21T00:00:00"/>
    <x v="3"/>
    <s v="Support"/>
    <s v="FTE"/>
    <n v="2022"/>
    <s v="Q2"/>
    <s v="2022-Q2"/>
    <x v="91"/>
  </r>
  <r>
    <x v="125"/>
    <x v="125"/>
    <n v="44733"/>
    <d v="2022-06-21T00:00:00"/>
    <x v="3"/>
    <s v="Support"/>
    <s v="FTE"/>
    <n v="2022"/>
    <s v="Q2"/>
    <s v="2022-Q2"/>
    <x v="48"/>
  </r>
  <r>
    <x v="111"/>
    <x v="111"/>
    <n v="42735"/>
    <d v="2016-12-31T00:00:00"/>
    <x v="0"/>
    <s v="Data"/>
    <s v="FTE"/>
    <n v="2016"/>
    <s v="Q4"/>
    <s v="2016-Q4"/>
    <x v="90"/>
  </r>
  <r>
    <x v="111"/>
    <x v="111"/>
    <n v="42735"/>
    <d v="2016-12-31T00:00:00"/>
    <x v="0"/>
    <s v="Data"/>
    <s v="FTE"/>
    <n v="2016"/>
    <s v="Q4"/>
    <s v="2016-Q4"/>
    <x v="35"/>
  </r>
  <r>
    <x v="111"/>
    <x v="111"/>
    <n v="42735"/>
    <d v="2016-12-31T00:00:00"/>
    <x v="0"/>
    <s v="Data"/>
    <s v="FTE"/>
    <n v="2016"/>
    <s v="Q4"/>
    <s v="2016-Q4"/>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22DDCE-8E25-4731-ABFB-2603F4830CD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4" firstHeaderRow="1" firstDataRow="2" firstDataCol="1"/>
  <pivotFields count="10">
    <pivotField showAll="0"/>
    <pivotField dataField="1" showAll="0"/>
    <pivotField showAll="0"/>
    <pivotField showAll="0"/>
    <pivotField axis="axisRow" showAll="0">
      <items count="10">
        <item x="6"/>
        <item x="3"/>
        <item x="2"/>
        <item x="1"/>
        <item x="5"/>
        <item x="4"/>
        <item x="7"/>
        <item x="8"/>
        <item x="0"/>
        <item t="default"/>
      </items>
    </pivotField>
    <pivotField axis="axisRow" showAll="0">
      <items count="9">
        <item x="2"/>
        <item h="1" x="6"/>
        <item x="0"/>
        <item h="1" x="4"/>
        <item x="1"/>
        <item h="1" x="5"/>
        <item h="1" x="3"/>
        <item h="1" x="7"/>
        <item t="default"/>
      </items>
    </pivotField>
    <pivotField axis="axisCol" showAll="0">
      <items count="4">
        <item h="1" x="2"/>
        <item x="0"/>
        <item x="1"/>
        <item t="default"/>
      </items>
    </pivotField>
    <pivotField showAll="0"/>
    <pivotField showAll="0"/>
    <pivotField showAll="0"/>
  </pivotFields>
  <rowFields count="2">
    <field x="5"/>
    <field x="4"/>
  </rowFields>
  <rowItems count="20">
    <i>
      <x/>
    </i>
    <i r="1">
      <x/>
    </i>
    <i r="1">
      <x v="1"/>
    </i>
    <i r="1">
      <x v="2"/>
    </i>
    <i r="1">
      <x v="4"/>
    </i>
    <i r="1">
      <x v="8"/>
    </i>
    <i>
      <x v="2"/>
    </i>
    <i r="1">
      <x/>
    </i>
    <i r="1">
      <x v="1"/>
    </i>
    <i r="1">
      <x v="2"/>
    </i>
    <i r="1">
      <x v="5"/>
    </i>
    <i r="1">
      <x v="6"/>
    </i>
    <i r="1">
      <x v="8"/>
    </i>
    <i>
      <x v="4"/>
    </i>
    <i r="1">
      <x/>
    </i>
    <i r="1">
      <x v="1"/>
    </i>
    <i r="1">
      <x v="2"/>
    </i>
    <i r="1">
      <x v="3"/>
    </i>
    <i r="1">
      <x v="5"/>
    </i>
    <i t="grand">
      <x/>
    </i>
  </rowItems>
  <colFields count="1">
    <field x="6"/>
  </colFields>
  <colItems count="3">
    <i>
      <x v="1"/>
    </i>
    <i>
      <x v="2"/>
    </i>
    <i t="grand">
      <x/>
    </i>
  </colItems>
  <dataFields count="1">
    <dataField name="Count of Employee Name" fld="1" subtotal="count" baseField="0" baseItem="0"/>
  </dataFields>
  <chartFormats count="2">
    <chartFormat chart="3" format="0" series="1">
      <pivotArea type="data" outline="0" fieldPosition="0">
        <references count="2">
          <reference field="4294967294" count="1" selected="0">
            <x v="0"/>
          </reference>
          <reference field="6" count="1" selected="0">
            <x v="1"/>
          </reference>
        </references>
      </pivotArea>
    </chartFormat>
    <chartFormat chart="3" format="1"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D49794-4459-4497-BF65-F9D1D30A899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4" firstHeaderRow="1" firstDataRow="1" firstDataCol="1" rowPageCount="1" colPageCount="1"/>
  <pivotFields count="10">
    <pivotField axis="axisRow"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pivotField showAll="0"/>
    <pivotField showAll="0"/>
    <pivotField showAll="0"/>
    <pivotField dataField="1" showAll="0"/>
    <pivotField axis="axisPage" showAll="0">
      <items count="4">
        <item x="2"/>
        <item x="0"/>
        <item x="1"/>
        <item t="default"/>
      </items>
    </pivotField>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pageFields count="1">
    <pageField fld="9" hier="-1"/>
  </pageFields>
  <dataFields count="1">
    <dataField name="Count of Duration (&gt;3 months running projects in gree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7265D-CF26-4E84-ABB4-9F3D68DB598B}"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14">
    <pivotField showAll="0"/>
    <pivotField showAll="0"/>
    <pivotField dataField="1" showAll="0"/>
    <pivotField showAll="0"/>
    <pivotField showAll="0"/>
    <pivotField showAll="0"/>
    <pivotField showAll="0">
      <items count="9">
        <item x="2"/>
        <item x="6"/>
        <item x="0"/>
        <item x="4"/>
        <item x="1"/>
        <item x="5"/>
        <item x="3"/>
        <item x="7"/>
        <item t="default"/>
      </items>
    </pivotField>
    <pivotField showAll="0"/>
    <pivotField showAll="0"/>
    <pivotField showAll="0"/>
    <pivotField showAll="0"/>
    <pivotField axis="axisRow" showAll="0">
      <items count="13">
        <item x="10"/>
        <item x="9"/>
        <item x="6"/>
        <item x="5"/>
        <item x="3"/>
        <item x="2"/>
        <item x="1"/>
        <item x="0"/>
        <item x="4"/>
        <item x="8"/>
        <item x="7"/>
        <item x="11"/>
        <item t="default"/>
      </items>
    </pivotField>
    <pivotField axis="axisRow" showAll="0">
      <items count="6">
        <item x="4"/>
        <item x="0"/>
        <item x="2"/>
        <item x="1"/>
        <item x="3"/>
        <item t="default"/>
      </items>
    </pivotField>
    <pivotField showAll="0"/>
  </pivotFields>
  <rowFields count="2">
    <field x="11"/>
    <field x="12"/>
  </rowFields>
  <rowItems count="51">
    <i>
      <x/>
    </i>
    <i r="1">
      <x v="1"/>
    </i>
    <i r="1">
      <x v="4"/>
    </i>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4"/>
    </i>
    <i>
      <x v="9"/>
    </i>
    <i r="1">
      <x v="1"/>
    </i>
    <i r="1">
      <x v="4"/>
    </i>
    <i>
      <x v="10"/>
    </i>
    <i r="1">
      <x v="1"/>
    </i>
    <i r="1">
      <x v="4"/>
    </i>
    <i>
      <x v="11"/>
    </i>
    <i r="1">
      <x/>
    </i>
    <i t="grand">
      <x/>
    </i>
  </rowItems>
  <colItems count="1">
    <i/>
  </colItems>
  <dataFields count="1">
    <dataField name="Count of Employee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61E0F-35F7-46FC-97AF-1589C073C249}"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A3:B130" firstHeaderRow="1" firstDataRow="1" firstDataCol="1"/>
  <pivotFields count="11">
    <pivotField showAll="0"/>
    <pivotField axis="axisRow" showAll="0">
      <items count="127">
        <item x="50"/>
        <item x="70"/>
        <item x="34"/>
        <item x="26"/>
        <item x="62"/>
        <item x="77"/>
        <item x="23"/>
        <item x="65"/>
        <item x="10"/>
        <item x="115"/>
        <item x="80"/>
        <item x="119"/>
        <item x="1"/>
        <item x="122"/>
        <item x="17"/>
        <item x="95"/>
        <item x="117"/>
        <item x="47"/>
        <item x="121"/>
        <item x="98"/>
        <item x="113"/>
        <item x="30"/>
        <item x="78"/>
        <item x="38"/>
        <item x="42"/>
        <item x="54"/>
        <item x="102"/>
        <item x="120"/>
        <item x="18"/>
        <item x="88"/>
        <item x="123"/>
        <item x="124"/>
        <item x="100"/>
        <item x="8"/>
        <item x="104"/>
        <item x="83"/>
        <item x="13"/>
        <item x="53"/>
        <item x="105"/>
        <item x="91"/>
        <item x="43"/>
        <item x="71"/>
        <item x="106"/>
        <item x="25"/>
        <item x="58"/>
        <item x="97"/>
        <item x="85"/>
        <item x="28"/>
        <item x="35"/>
        <item x="73"/>
        <item x="3"/>
        <item x="60"/>
        <item x="19"/>
        <item x="92"/>
        <item x="94"/>
        <item x="112"/>
        <item x="107"/>
        <item x="63"/>
        <item x="45"/>
        <item x="4"/>
        <item x="68"/>
        <item x="20"/>
        <item x="116"/>
        <item x="14"/>
        <item x="39"/>
        <item x="51"/>
        <item x="41"/>
        <item x="79"/>
        <item x="15"/>
        <item x="72"/>
        <item x="9"/>
        <item x="24"/>
        <item x="66"/>
        <item x="46"/>
        <item x="96"/>
        <item x="56"/>
        <item x="6"/>
        <item x="114"/>
        <item x="74"/>
        <item x="5"/>
        <item x="93"/>
        <item x="12"/>
        <item x="69"/>
        <item x="82"/>
        <item x="59"/>
        <item x="22"/>
        <item x="29"/>
        <item x="36"/>
        <item x="55"/>
        <item x="0"/>
        <item x="125"/>
        <item x="49"/>
        <item x="86"/>
        <item x="110"/>
        <item x="48"/>
        <item x="108"/>
        <item x="27"/>
        <item x="89"/>
        <item x="31"/>
        <item x="118"/>
        <item x="57"/>
        <item x="81"/>
        <item x="40"/>
        <item x="84"/>
        <item x="52"/>
        <item x="44"/>
        <item x="103"/>
        <item x="37"/>
        <item x="11"/>
        <item x="75"/>
        <item x="111"/>
        <item x="2"/>
        <item x="16"/>
        <item x="101"/>
        <item x="109"/>
        <item x="90"/>
        <item x="33"/>
        <item x="61"/>
        <item x="99"/>
        <item x="64"/>
        <item x="21"/>
        <item x="32"/>
        <item x="7"/>
        <item x="76"/>
        <item x="87"/>
        <item x="67"/>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t="grand">
      <x/>
    </i>
  </rowItems>
  <colItems count="1">
    <i/>
  </colItems>
  <dataFields count="1">
    <dataField name="Project Coun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ABAC4-CE97-44BB-A3EB-AAF3A87B8745}" name="PivotTable9"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29" firstHeaderRow="1" firstDataRow="1" firstDataCol="2"/>
  <pivotFields count="11">
    <pivotField axis="axisRow" compact="0" outline="0" showAll="0" defaultSubtotal="0">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7"/>
        <item x="88"/>
        <item x="89"/>
        <item x="90"/>
        <item x="91"/>
        <item x="92"/>
        <item x="93"/>
        <item x="94"/>
        <item x="95"/>
        <item x="96"/>
        <item x="97"/>
        <item x="98"/>
        <item x="99"/>
        <item x="100"/>
        <item x="101"/>
        <item x="102"/>
        <item x="103"/>
        <item x="104"/>
        <item x="105"/>
        <item x="106"/>
        <item x="107"/>
        <item x="108"/>
        <item x="116"/>
        <item x="109"/>
        <item x="110"/>
        <item x="117"/>
        <item x="118"/>
        <item x="112"/>
        <item x="81"/>
        <item x="119"/>
        <item x="120"/>
        <item x="121"/>
        <item x="122"/>
        <item x="123"/>
        <item x="124"/>
        <item x="125"/>
        <item x="111"/>
        <item x="114"/>
        <item x="115"/>
        <item x="1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6"/>
        <item x="3"/>
        <item x="2"/>
        <item x="1"/>
        <item x="5"/>
        <item x="4"/>
        <item x="7"/>
        <item x="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0"/>
    <field x="4"/>
  </rowFields>
  <rowItems count="126">
    <i>
      <x/>
      <x v="8"/>
    </i>
    <i>
      <x v="1"/>
      <x v="3"/>
    </i>
    <i>
      <x v="2"/>
      <x v="2"/>
    </i>
    <i>
      <x v="3"/>
      <x v="1"/>
    </i>
    <i>
      <x v="4"/>
      <x v="5"/>
    </i>
    <i>
      <x v="5"/>
      <x v="4"/>
    </i>
    <i>
      <x v="6"/>
      <x v="1"/>
    </i>
    <i>
      <x v="7"/>
      <x v="1"/>
    </i>
    <i>
      <x v="8"/>
      <x/>
    </i>
    <i>
      <x v="9"/>
      <x v="1"/>
    </i>
    <i>
      <x v="10"/>
      <x v="1"/>
    </i>
    <i>
      <x v="11"/>
      <x/>
    </i>
    <i>
      <x v="12"/>
      <x v="8"/>
    </i>
    <i>
      <x v="13"/>
      <x v="1"/>
    </i>
    <i>
      <x v="14"/>
      <x v="2"/>
    </i>
    <i>
      <x v="15"/>
      <x/>
    </i>
    <i>
      <x v="16"/>
      <x v="1"/>
    </i>
    <i>
      <x v="17"/>
      <x/>
    </i>
    <i>
      <x v="18"/>
      <x v="1"/>
    </i>
    <i>
      <x v="19"/>
      <x v="5"/>
    </i>
    <i>
      <x v="20"/>
      <x/>
    </i>
    <i>
      <x v="21"/>
      <x v="1"/>
    </i>
    <i>
      <x v="22"/>
      <x v="2"/>
    </i>
    <i>
      <x v="23"/>
      <x/>
    </i>
    <i>
      <x v="24"/>
      <x v="1"/>
    </i>
    <i>
      <x v="25"/>
      <x v="5"/>
    </i>
    <i>
      <x v="26"/>
      <x v="1"/>
    </i>
    <i>
      <x v="27"/>
      <x/>
    </i>
    <i>
      <x v="28"/>
      <x v="2"/>
    </i>
    <i>
      <x v="29"/>
      <x/>
    </i>
    <i>
      <x v="30"/>
      <x v="1"/>
    </i>
    <i>
      <x v="31"/>
      <x v="5"/>
    </i>
    <i>
      <x v="32"/>
      <x v="1"/>
    </i>
    <i>
      <x v="33"/>
      <x/>
    </i>
    <i>
      <x v="34"/>
      <x v="1"/>
    </i>
    <i>
      <x v="35"/>
      <x v="2"/>
    </i>
    <i>
      <x v="36"/>
      <x v="1"/>
    </i>
    <i>
      <x v="37"/>
      <x/>
    </i>
    <i>
      <x v="38"/>
      <x v="5"/>
    </i>
    <i>
      <x v="39"/>
      <x v="1"/>
    </i>
    <i>
      <x v="40"/>
      <x/>
    </i>
    <i>
      <x v="41"/>
      <x v="1"/>
    </i>
    <i>
      <x v="42"/>
      <x v="2"/>
    </i>
    <i>
      <x v="43"/>
      <x v="1"/>
    </i>
    <i>
      <x v="44"/>
      <x v="6"/>
    </i>
    <i>
      <x v="45"/>
      <x/>
    </i>
    <i>
      <x v="46"/>
      <x v="1"/>
    </i>
    <i>
      <x v="47"/>
      <x/>
    </i>
    <i>
      <x v="48"/>
      <x v="4"/>
    </i>
    <i>
      <x v="49"/>
      <x/>
    </i>
    <i>
      <x v="50"/>
      <x v="1"/>
    </i>
    <i>
      <x v="51"/>
      <x/>
    </i>
    <i>
      <x v="52"/>
      <x v="5"/>
    </i>
    <i>
      <x v="53"/>
      <x v="1"/>
    </i>
    <i>
      <x v="54"/>
      <x v="2"/>
    </i>
    <i>
      <x v="55"/>
      <x v="1"/>
    </i>
    <i>
      <x v="56"/>
      <x/>
    </i>
    <i>
      <x v="57"/>
      <x v="1"/>
    </i>
    <i>
      <x v="58"/>
      <x v="6"/>
    </i>
    <i>
      <x v="59"/>
      <x/>
    </i>
    <i>
      <x v="60"/>
      <x v="1"/>
    </i>
    <i>
      <x v="61"/>
      <x v="1"/>
    </i>
    <i>
      <x v="62"/>
      <x v="2"/>
    </i>
    <i>
      <x v="63"/>
      <x/>
    </i>
    <i>
      <x v="64"/>
      <x v="1"/>
    </i>
    <i>
      <x v="65"/>
      <x v="6"/>
    </i>
    <i>
      <x v="66"/>
      <x v="1"/>
    </i>
    <i>
      <x v="67"/>
      <x/>
    </i>
    <i>
      <x v="68"/>
      <x v="1"/>
    </i>
    <i>
      <x v="69"/>
      <x/>
    </i>
    <i>
      <x v="70"/>
      <x v="2"/>
    </i>
    <i>
      <x v="71"/>
      <x v="1"/>
    </i>
    <i>
      <x v="72"/>
      <x v="6"/>
    </i>
    <i>
      <x v="73"/>
      <x/>
    </i>
    <i>
      <x v="74"/>
      <x v="1"/>
    </i>
    <i>
      <x v="75"/>
      <x v="1"/>
    </i>
    <i>
      <x v="76"/>
      <x v="6"/>
    </i>
    <i>
      <x v="77"/>
      <x/>
    </i>
    <i>
      <x v="78"/>
      <x v="2"/>
    </i>
    <i>
      <x v="79"/>
      <x v="1"/>
    </i>
    <i>
      <x v="80"/>
      <x v="1"/>
    </i>
    <i>
      <x v="81"/>
      <x/>
    </i>
    <i>
      <x v="82"/>
      <x v="1"/>
    </i>
    <i>
      <x v="83"/>
      <x/>
    </i>
    <i>
      <x v="84"/>
      <x v="6"/>
    </i>
    <i>
      <x v="85"/>
      <x v="1"/>
    </i>
    <i>
      <x v="86"/>
      <x v="2"/>
    </i>
    <i>
      <x v="87"/>
      <x/>
    </i>
    <i>
      <x v="88"/>
      <x v="1"/>
    </i>
    <i>
      <x v="89"/>
      <x/>
    </i>
    <i>
      <x v="90"/>
      <x v="1"/>
    </i>
    <i>
      <x v="91"/>
      <x v="1"/>
    </i>
    <i>
      <x v="92"/>
      <x v="6"/>
    </i>
    <i>
      <x v="93"/>
      <x/>
    </i>
    <i>
      <x v="94"/>
      <x v="2"/>
    </i>
    <i>
      <x v="95"/>
      <x v="1"/>
    </i>
    <i>
      <x v="96"/>
      <x v="1"/>
    </i>
    <i>
      <x v="97"/>
      <x/>
    </i>
    <i>
      <x v="98"/>
      <x v="6"/>
    </i>
    <i>
      <x v="99"/>
      <x/>
    </i>
    <i>
      <x v="100"/>
      <x v="8"/>
    </i>
    <i>
      <x v="101"/>
      <x v="2"/>
    </i>
    <i>
      <x v="102"/>
      <x v="3"/>
    </i>
    <i>
      <x v="103"/>
      <x v="2"/>
    </i>
    <i>
      <x v="104"/>
      <x v="7"/>
    </i>
    <i>
      <x v="105"/>
      <x v="7"/>
    </i>
    <i>
      <x v="106"/>
      <x v="4"/>
    </i>
    <i>
      <x v="107"/>
      <x v="8"/>
    </i>
    <i>
      <x v="108"/>
      <x/>
    </i>
    <i>
      <x v="109"/>
      <x/>
    </i>
    <i>
      <x v="110"/>
      <x v="2"/>
    </i>
    <i>
      <x v="111"/>
      <x v="2"/>
    </i>
    <i>
      <x v="112"/>
      <x v="6"/>
    </i>
    <i>
      <x v="113"/>
      <x/>
    </i>
    <i>
      <x v="114"/>
      <x v="1"/>
    </i>
    <i>
      <x v="115"/>
      <x v="1"/>
    </i>
    <i>
      <x v="116"/>
      <x v="1"/>
    </i>
    <i>
      <x v="117"/>
      <x/>
    </i>
    <i>
      <x v="118"/>
      <x v="4"/>
    </i>
    <i>
      <x v="119"/>
      <x v="2"/>
    </i>
    <i>
      <x v="120"/>
      <x/>
    </i>
    <i>
      <x v="121"/>
      <x v="1"/>
    </i>
    <i>
      <x v="122"/>
      <x v="8"/>
    </i>
    <i>
      <x v="123"/>
      <x v="2"/>
    </i>
    <i>
      <x v="124"/>
      <x/>
    </i>
    <i>
      <x v="125"/>
      <x v="2"/>
    </i>
  </rowItems>
  <colItems count="1">
    <i/>
  </colItems>
  <dataFields count="1">
    <dataField name="Project Count" fld="10" subtotal="count" baseField="4"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EB0B64-A45C-49C9-9ACD-1764EC30DB78}" autoFormatId="16" applyNumberFormats="0" applyBorderFormats="0" applyFontFormats="0" applyPatternFormats="0" applyAlignmentFormats="0" applyWidthHeightFormats="0">
  <queryTableRefresh nextId="16" unboundColumnsRight="4">
    <queryTableFields count="15">
      <queryTableField id="1" name="Corrected Employee ID" tableColumnId="1"/>
      <queryTableField id="2" name="Employee Name" tableColumnId="2"/>
      <queryTableField id="3" name="Employee First Working Day" tableColumnId="3"/>
      <queryTableField id="4" name="Corrected Employee First Working Day" tableColumnId="4"/>
      <queryTableField id="5" name="Designation" tableColumnId="5"/>
      <queryTableField id="6" name="Team" tableColumnId="6"/>
      <queryTableField id="7" name="Type" tableColumnId="7"/>
      <queryTableField id="8" name="Year of Joining Date" tableColumnId="8"/>
      <queryTableField id="9" name="Quarter of Joining Date" tableColumnId="9"/>
      <queryTableField id="10" name="Quarter &amp; Year of Joining Date" tableColumnId="10"/>
      <queryTableField id="11" name="Project Code" tableColumnId="11"/>
      <queryTableField id="12" dataBound="0" tableColumnId="12"/>
      <queryTableField id="13" dataBound="0"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4476C0C9-FBDF-4777-B818-66EA70F7242E}" sourceName="Designation">
  <pivotTables>
    <pivotTable tabId="3" name="PivotTable1"/>
  </pivotTables>
  <data>
    <tabular pivotCacheId="1015316322">
      <items count="9">
        <i x="6" s="1"/>
        <i x="3" s="1"/>
        <i x="2" s="1"/>
        <i x="1" s="1"/>
        <i x="5" s="1"/>
        <i x="4" s="1"/>
        <i x="7" s="1"/>
        <i x="0"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87CB3B0E-D4C1-4A04-A037-01163568B408}" sourceName="Team">
  <pivotTables>
    <pivotTable tabId="3" name="PivotTable1"/>
  </pivotTables>
  <data>
    <tabular pivotCacheId="1015316322">
      <items count="8">
        <i x="2" s="1"/>
        <i x="6"/>
        <i x="0" s="1"/>
        <i x="4"/>
        <i x="1" s="1"/>
        <i x="5"/>
        <i x="3"/>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539F33F-CB35-4030-81CA-FF287B1C407D}" sourceName="Type">
  <pivotTables>
    <pivotTable tabId="3" name="PivotTable1"/>
  </pivotTables>
  <data>
    <tabular pivotCacheId="1015316322">
      <items count="3">
        <i x="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F46F3B6E-D171-4347-8177-6C52DBD17DFA}" sourceName="Team">
  <pivotTables>
    <pivotTable tabId="6" name="PivotTable4"/>
  </pivotTables>
  <data>
    <tabular pivotCacheId="1838968520">
      <items count="8">
        <i x="2" s="1"/>
        <i x="6" s="1"/>
        <i x="0" s="1"/>
        <i x="4" s="1"/>
        <i x="1" s="1"/>
        <i x="5" s="1"/>
        <i x="3"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Joining_Date" xr10:uid="{BA583DC9-5B37-4C0A-BB02-2BC26A185F13}" sourceName="Year of Joining Date">
  <pivotTables>
    <pivotTable tabId="6" name="PivotTable4"/>
  </pivotTables>
  <data>
    <tabular pivotCacheId="1838968520">
      <items count="12">
        <i x="10" s="1"/>
        <i x="9" s="1"/>
        <i x="6" s="1"/>
        <i x="5" s="1"/>
        <i x="3" s="1"/>
        <i x="2" s="1"/>
        <i x="1" s="1"/>
        <i x="0" s="1"/>
        <i x="4" s="1"/>
        <i x="8" s="1"/>
        <i x="7"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_of_Joining_Date" xr10:uid="{4D503F11-9DD9-4990-A2B9-4D0C3536BE7B}" sourceName="Quarter of Joining Date">
  <pivotTables>
    <pivotTable tabId="6" name="PivotTable4"/>
  </pivotTables>
  <data>
    <tabular pivotCacheId="1838968520">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772B5AC6-0804-4BF3-94CD-6CCBB4D6EF05}" cache="Slicer_Designation" caption="Designation" style="SlicerStyleLight2" rowHeight="247650"/>
  <slicer name="Team" xr10:uid="{A2467926-D980-4BD3-A3F1-1497C0492281}" cache="Slicer_Team" caption="Team" style="SlicerStyleLight2" rowHeight="247650"/>
  <slicer name="Type" xr10:uid="{56A4B81D-2379-4297-82FE-5158FDBD2A7B}" cache="Slicer_Type" caption="Typ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44B93E3A-EFD4-40B1-98B4-902DB138BD8A}" cache="Slicer_Team1" caption="Team" style="SlicerStyleLight2" rowHeight="247650"/>
  <slicer name="Year of Joining Date" xr10:uid="{4A7E0BF9-CD7B-4350-AEB0-341848CC64A5}" cache="Slicer_Year_of_Joining_Date" caption="Year of Joining Date" style="SlicerStyleLight2" rowHeight="247650"/>
  <slicer name="Quarter of Joining Date" xr10:uid="{D08C2E0F-D1B2-4874-A02E-7727450A49A9}" cache="Slicer_Quarter_of_Joining_Date" caption="Quarter of Joining Date" style="SlicerStyleLight2"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5D5917-11A7-479C-A32B-FC7A2189F981}" name="Table2" displayName="Table2" ref="B1:N130" totalsRowShown="0" headerRowDxfId="48" headerRowBorderDxfId="46" tableBorderDxfId="47" totalsRowBorderDxfId="45">
  <autoFilter ref="B1:N130" xr:uid="{BA5D5917-11A7-479C-A32B-FC7A2189F981}"/>
  <tableColumns count="13">
    <tableColumn id="1" xr3:uid="{583BBD1C-35FF-4C5D-9DAE-325DA6D9E85A}" name="Corrected Employee ID" dataDxfId="44">
      <calculatedColumnFormula>"emp"&amp;TEXT(VALUE(SUBSTITUTE(SUBSTITUTE(UPPER(TRIM(A2)),"EMP",""),"-","")),"000")</calculatedColumnFormula>
    </tableColumn>
    <tableColumn id="2" xr3:uid="{C73E8AEB-C440-4447-8C2F-C5A64F9496C0}" name="Employee Name" dataDxfId="43"/>
    <tableColumn id="3" xr3:uid="{5A00F63F-3F38-4C6C-8060-B820B5D81B67}" name="Employee First Working Day" dataDxfId="42"/>
    <tableColumn id="4" xr3:uid="{8044E587-EB95-4970-A9CD-B34D9BB42296}" name="Corrected Employee First Working Day" dataDxfId="41">
      <calculatedColumnFormula>IF(D2="","",
 IF(ISNUMBER(D2),D2,
 IFERROR(DATEVALUE(D2),
 IFERROR(DATEVALUE(SUBSTITUTE(SUBSTITUTE(SUBSTITUTE(LOWER(D2),"th",""),".","/"),"-","/")),"Check"))))</calculatedColumnFormula>
    </tableColumn>
    <tableColumn id="5" xr3:uid="{BE446DEA-C892-4CB8-919C-5E65D97F02FF}" name="Designation" dataDxfId="40"/>
    <tableColumn id="6" xr3:uid="{A0A7585D-AFCE-414A-9512-A0356185E6CA}" name="Team" dataDxfId="39"/>
    <tableColumn id="7" xr3:uid="{EDD483A8-6F6C-4380-9164-686207F8591E}" name="Type" dataDxfId="38"/>
    <tableColumn id="8" xr3:uid="{0226CB73-37B2-46B7-BFD7-75E16FF273AE}" name=" Assigned Project 1 Code" dataDxfId="37"/>
    <tableColumn id="9" xr3:uid="{DDB4FA84-4C4E-4477-986A-CF25059946EF}" name=" Assigned Project 2 Code" dataDxfId="36"/>
    <tableColumn id="10" xr3:uid="{0426CB77-40E8-4AD7-A6E3-42DC6CF360C7}" name=" Assigned Project 3 Code" dataDxfId="35"/>
    <tableColumn id="11" xr3:uid="{6A26BA2B-CCEB-42E5-AC5B-3F75EF395A3F}" name="Year of Joining Date" dataDxfId="34">
      <calculatedColumnFormula>IF(E2="","Missing",YEAR(E2))</calculatedColumnFormula>
    </tableColumn>
    <tableColumn id="12" xr3:uid="{88777FD9-FB27-4A93-8D07-F541950979CF}" name="Quarter of Joining Date" dataDxfId="33">
      <calculatedColumnFormula>IF(E2="","Missing","Q"&amp;ROUNDUP(MONTH(E2)/3,0))</calculatedColumnFormula>
    </tableColumn>
    <tableColumn id="13" xr3:uid="{F0E1BA2E-C905-42DD-BEBB-6B3F3860AA62}" name="Quarter &amp; Year of Joining Date" dataDxfId="32">
      <calculatedColumnFormula>YEAR(E2)&amp;"-Q"&amp;ROUNDUP(MONTH(E2)/3,0)</calculatedColumnFormula>
    </tableColumn>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03170A-FF9C-415C-A7D5-69983E8BD83C}" name="Table3" displayName="Table3" ref="A1:L91" totalsRowShown="0" headerRowDxfId="64" dataDxfId="78" headerRowBorderDxfId="76" tableBorderDxfId="77" totalsRowBorderDxfId="75">
  <autoFilter ref="A1:L91" xr:uid="{D003170A-FF9C-415C-A7D5-69983E8BD83C}"/>
  <tableColumns count="12">
    <tableColumn id="1" xr3:uid="{3E14008F-9E6C-4CE1-945A-35ECAEE2ADC3}" name="Project ID" dataDxfId="74"/>
    <tableColumn id="2" xr3:uid="{93CD2DC9-162F-433D-B7D8-90C0F640882B}" name="Project Name" dataDxfId="73"/>
    <tableColumn id="3" xr3:uid="{10CE93D8-61F2-4D7C-81F9-E01C2F543B04}" name="Start Date" dataDxfId="72"/>
    <tableColumn id="4" xr3:uid="{A8D76F76-9854-4420-AE60-6C7FFBE2912F}" name="Corrected Start Date" dataDxfId="71">
      <calculatedColumnFormula>IF(C2="","",
 IF(ISNUMBER(C2),C2,
 IFERROR(DATEVALUE(C2),
 IFERROR(DATEVALUE(SUBSTITUTE(SUBSTITUTE(C2,"-","/"),",","")),"Check"))))</calculatedColumnFormula>
    </tableColumn>
    <tableColumn id="5" xr3:uid="{7CBB9EA0-1298-4A64-A189-111029E3591A}" name="End Date" dataDxfId="70"/>
    <tableColumn id="6" xr3:uid="{FE9B8F2D-AC8E-4588-8D05-3DE6591C6ED4}" name="Corrected End Date" dataDxfId="69">
      <calculatedColumnFormula>IF(E2="","",
 IF(ISNUMBER(E2),E2,
 IFERROR(DATEVALUE(E2),
 IFERROR(DATEVALUE(SUBSTITUTE(SUBSTITUTE(E2,"-","/"),",","")),"Check"))))</calculatedColumnFormula>
    </tableColumn>
    <tableColumn id="7" xr3:uid="{CC58D55F-9331-4468-BBFB-7DB980A8E01B}" name="Revised End Date" dataDxfId="68"/>
    <tableColumn id="8" xr3:uid="{5C45EB45-DE49-46BE-998F-248043E927F8}" name="Final End Date" dataDxfId="67">
      <calculatedColumnFormula>IF(G2&lt;&gt;"",G2,F2)</calculatedColumnFormula>
    </tableColumn>
    <tableColumn id="9" xr3:uid="{0B409993-7205-4E14-AF3A-5128C3B1380A}" name="Duration (&gt;3 months running projects in green)" dataDxfId="66">
      <calculatedColumnFormula>IF(OR(NOT(ISNUMBER(C2)),NOT(ISNUMBER(H2))),"",H2-C2)</calculatedColumnFormula>
    </tableColumn>
    <tableColumn id="10" xr3:uid="{9797A663-E674-4BDD-B162-A2DF2FE229CC}" name="Project Type Duration Wise" dataDxfId="65">
      <calculatedColumnFormula>IF(I2&gt;90,"Long Project","Normal")</calculatedColumnFormula>
    </tableColumn>
    <tableColumn id="11" xr3:uid="{6C3F3B22-F9B7-4CA4-98AA-1F391032B2B4}" name="Project Status" dataDxfId="63">
      <calculatedColumnFormula>IF(OR(H2="",NOT(ISNUMBER(H2))),
   "Planned/In Progress",
   IF(H2&lt;TODAY(),"Completed","In Progress"))</calculatedColumnFormula>
    </tableColumn>
    <tableColumn id="12" xr3:uid="{08B41DA3-C3A1-4ABF-8082-DC61848682FC}" name="Delay" dataDxfId="62">
      <calculatedColumnFormula>IF(OR(NOT(ISNUMBER(F2)),NOT(ISNUMBER(H2))),
   "Missing",
   IF(H2&lt;TODAY(),
      IF(H2&gt;F2,H2-F2,"On Time"),
      "In Progress"))</calculatedColumnFormula>
    </tableColumn>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8271B2-6D73-4C42-BB7B-292C19E8CC1F}" name="Table2_1" displayName="Table2_1" ref="A1:O230" tableType="queryTable" totalsRowShown="0">
  <autoFilter ref="A1:O230" xr:uid="{C18271B2-6D73-4C42-BB7B-292C19E8CC1F}"/>
  <sortState xmlns:xlrd2="http://schemas.microsoft.com/office/spreadsheetml/2017/richdata2" ref="A2:M230">
    <sortCondition ref="L1:L230"/>
  </sortState>
  <tableColumns count="15">
    <tableColumn id="1" xr3:uid="{AC9D2B3D-FB1C-4E78-A822-246A0977BB30}" uniqueName="1" name="Corrected Employee ID" queryTableFieldId="1" dataDxfId="61"/>
    <tableColumn id="2" xr3:uid="{A6D19D00-E1CD-4670-A5EF-20818419E74C}" uniqueName="2" name="Employee Name" queryTableFieldId="2" dataDxfId="60"/>
    <tableColumn id="3" xr3:uid="{94609D55-A25D-4A91-AA23-32CBEEA117D4}" uniqueName="3" name="Employee First Working Day" queryTableFieldId="3"/>
    <tableColumn id="4" xr3:uid="{5B549D92-A7FA-4F03-84A3-A893B2E63EF8}" uniqueName="4" name="Corrected Employee First Working Day" queryTableFieldId="4" dataDxfId="59"/>
    <tableColumn id="5" xr3:uid="{CEAEE148-9DAF-4393-B5A0-412EE5C99022}" uniqueName="5" name="Designation" queryTableFieldId="5" dataDxfId="58"/>
    <tableColumn id="6" xr3:uid="{59A08AC6-CE19-4E02-9214-4A591D92D07D}" uniqueName="6" name="Team" queryTableFieldId="6" dataDxfId="57"/>
    <tableColumn id="7" xr3:uid="{E974DA3C-3985-4C77-B340-8A429ED46AF7}" uniqueName="7" name="Type" queryTableFieldId="7" dataDxfId="56"/>
    <tableColumn id="8" xr3:uid="{D25B7920-D677-4E1A-8464-78DB291EEFA7}" uniqueName="8" name="Year of Joining Date" queryTableFieldId="8"/>
    <tableColumn id="9" xr3:uid="{6F07E3D6-0F93-4BA0-B129-F69C6E5F8331}" uniqueName="9" name="Quarter of Joining Date" queryTableFieldId="9" dataDxfId="55"/>
    <tableColumn id="10" xr3:uid="{64D3A3B9-6BE7-44EE-901A-8B0D9733C33A}" uniqueName="10" name="Quarter &amp; Year of Joining Date" queryTableFieldId="10" dataDxfId="54"/>
    <tableColumn id="11" xr3:uid="{D44AE233-1D9D-4F63-8918-5BADD814B887}" uniqueName="11" name="Project Code" queryTableFieldId="11" dataDxfId="53"/>
    <tableColumn id="12" xr3:uid="{E48E2C28-932E-4EAD-854D-028332849559}" uniqueName="12" name="Start Date" queryTableFieldId="12" dataDxfId="52">
      <calculatedColumnFormula>_xlfn.XLOOKUP(K2, Projects!$A:$A, Projects!$D:$D)</calculatedColumnFormula>
    </tableColumn>
    <tableColumn id="13" xr3:uid="{88F8D0CC-1D6E-4F40-8477-E3B74C774DBD}" uniqueName="13" name="End Date" queryTableFieldId="13" dataDxfId="51">
      <calculatedColumnFormula>_xlfn.XLOOKUP(K2, Projects!$A:$A, Projects!$F:$F)</calculatedColumnFormula>
    </tableColumn>
    <tableColumn id="14" xr3:uid="{E9A3BA20-EA2D-4FC7-842A-49112DC29C78}" uniqueName="14" name="Active Project Count" queryTableFieldId="14" dataDxfId="50">
      <calculatedColumnFormula>COUNTIFS(A:A,A2, L:L,"&lt;="&amp;M2, M:M,"&gt;="&amp;L2)</calculatedColumnFormula>
    </tableColumn>
    <tableColumn id="15" xr3:uid="{AA271504-CDAF-4719-8742-9EE8480B9D30}" uniqueName="15" name="Over Allocation" queryTableFieldId="15" dataDxfId="49">
      <calculatedColumnFormula>IF(N2&gt;2,"Overallocated","OK")</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ECE2C1-8C36-4D71-A9C4-442D41C73D3B}" name="Table9" displayName="Table9" ref="A1:M9" totalsRowShown="0" headerRowDxfId="0" dataDxfId="2" headerRowBorderDxfId="1">
  <autoFilter ref="A1:M9" xr:uid="{62ECE2C1-8C36-4D71-A9C4-442D41C73D3B}"/>
  <tableColumns count="13">
    <tableColumn id="1" xr3:uid="{8E8BFABA-4359-4F90-8BA1-21AC1BAE3680}" name="Initiative ID" dataDxfId="14"/>
    <tableColumn id="2" xr3:uid="{A6940A59-2167-470E-A499-2940D0D3F791}" name="Initiative Name" dataDxfId="13"/>
    <tableColumn id="3" xr3:uid="{897BDBE1-E1A5-47FA-A198-B2F942A5F2DC}" name="Business Unit / Team" dataDxfId="12"/>
    <tableColumn id="4" xr3:uid="{5AC6A4CD-80ED-4509-AC87-AE9D091CC312}" name="Owner" dataDxfId="11"/>
    <tableColumn id="5" xr3:uid="{1611EDF1-B212-4251-AF35-27BA8495335B}" name="Start Date" dataDxfId="10"/>
    <tableColumn id="6" xr3:uid="{7F0537D3-186C-4C4E-BD73-7A76801D0AE2}" name="End Date" dataDxfId="9"/>
    <tableColumn id="7" xr3:uid="{4704070F-8AE6-48D3-970D-B3056C67C976}" name="Status" dataDxfId="8"/>
    <tableColumn id="8" xr3:uid="{CD8C030B-F31E-4DA2-B177-06920D95B710}" name="Priority" dataDxfId="7"/>
    <tableColumn id="9" xr3:uid="{7877E519-5BCB-43AB-B25C-D9E5396D86C1}" name="Progress %" dataDxfId="6"/>
    <tableColumn id="10" xr3:uid="{995DEC9C-A3D9-47A3-9257-0092F4DC2859}" name="Budget" dataDxfId="5"/>
    <tableColumn id="11" xr3:uid="{BA65676C-9124-4AAF-8638-1A0DFE8CC52F}" name="Risk Level" dataDxfId="4"/>
    <tableColumn id="12" xr3:uid="{553520AE-5141-4AE2-9B96-8D22F173DFD1}" name="Overdue Flag">
      <calculatedColumnFormula>IF(AND(F2&lt;TODAY(), G2&lt;&gt;"Completed"), "Overdue", "")</calculatedColumnFormula>
    </tableColumn>
    <tableColumn id="13" xr3:uid="{3A8F13FB-2BDB-46F9-9F23-CF627251BB19}" name="Remarks" dataDxf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38A3-202C-4EF7-9F5F-D77FC1AF9095}">
  <dimension ref="A1:N130"/>
  <sheetViews>
    <sheetView topLeftCell="E1" workbookViewId="0">
      <selection activeCell="O16" sqref="O16"/>
    </sheetView>
  </sheetViews>
  <sheetFormatPr defaultColWidth="17.44140625" defaultRowHeight="14.4" x14ac:dyDescent="0.3"/>
  <cols>
    <col min="1" max="1" width="9.88671875" hidden="1" customWidth="1"/>
    <col min="2" max="2" width="21.88671875" customWidth="1"/>
    <col min="4" max="4" width="0" hidden="1" customWidth="1"/>
    <col min="5" max="5" width="18.6640625" customWidth="1"/>
    <col min="9" max="9" width="14.88671875" customWidth="1"/>
    <col min="10" max="10" width="15.88671875" customWidth="1"/>
    <col min="11" max="11" width="16" customWidth="1"/>
    <col min="12" max="12" width="12.21875" style="28" hidden="1" customWidth="1"/>
    <col min="13" max="13" width="13.5546875" hidden="1" customWidth="1"/>
    <col min="14" max="14" width="14.44140625" customWidth="1"/>
  </cols>
  <sheetData>
    <row r="1" spans="1:14" ht="28.8" x14ac:dyDescent="0.3">
      <c r="A1" s="7" t="s">
        <v>0</v>
      </c>
      <c r="B1" s="19" t="s">
        <v>493</v>
      </c>
      <c r="C1" s="20" t="s">
        <v>1</v>
      </c>
      <c r="D1" s="20" t="s">
        <v>2</v>
      </c>
      <c r="E1" s="20" t="s">
        <v>494</v>
      </c>
      <c r="F1" s="20" t="s">
        <v>3</v>
      </c>
      <c r="G1" s="20" t="s">
        <v>4</v>
      </c>
      <c r="H1" s="20" t="s">
        <v>5</v>
      </c>
      <c r="I1" s="20" t="s">
        <v>6</v>
      </c>
      <c r="J1" s="20" t="s">
        <v>7</v>
      </c>
      <c r="K1" s="20" t="s">
        <v>8</v>
      </c>
      <c r="L1" s="53" t="s">
        <v>509</v>
      </c>
      <c r="M1" s="46" t="s">
        <v>510</v>
      </c>
      <c r="N1" s="20" t="s">
        <v>512</v>
      </c>
    </row>
    <row r="2" spans="1:14" x14ac:dyDescent="0.3">
      <c r="A2" s="2" t="s">
        <v>9</v>
      </c>
      <c r="B2" s="17" t="str">
        <f>"emp"&amp;TEXT(VALUE(SUBSTITUTE(SUBSTITUTE(UPPER(TRIM(A2)),"EMP",""),"-","")),"000")</f>
        <v>emp001</v>
      </c>
      <c r="C2" s="2" t="s">
        <v>10</v>
      </c>
      <c r="D2" s="8">
        <v>44562</v>
      </c>
      <c r="E2" s="8">
        <f>IF(D2="","",
 IF(ISNUMBER(D2),D2,
 IFERROR(DATEVALUE(D2),
 IFERROR(DATEVALUE(SUBSTITUTE(SUBSTITUTE(SUBSTITUTE(LOWER(D2),"th",""),".","/"),"-","/")),"Check"))))</f>
        <v>44562</v>
      </c>
      <c r="F2" s="2" t="s">
        <v>11</v>
      </c>
      <c r="G2" s="2" t="s">
        <v>12</v>
      </c>
      <c r="H2" s="2" t="s">
        <v>13</v>
      </c>
      <c r="I2" s="9" t="s">
        <v>14</v>
      </c>
      <c r="J2" s="10" t="s">
        <v>15</v>
      </c>
      <c r="K2" s="1"/>
      <c r="L2" s="54">
        <f t="shared" ref="L2:L33" si="0">IF(E2="","Missing",YEAR(E2))</f>
        <v>2022</v>
      </c>
      <c r="M2" s="18" t="str">
        <f t="shared" ref="M2:M33" si="1">IF(E2="","Missing","Q"&amp;ROUNDUP(MONTH(E2)/3,0))</f>
        <v>Q1</v>
      </c>
      <c r="N2" t="str">
        <f t="shared" ref="N2:N33" si="2">YEAR(E2)&amp;"-Q"&amp;ROUNDUP(MONTH(E2)/3,0)</f>
        <v>2022-Q1</v>
      </c>
    </row>
    <row r="3" spans="1:14" x14ac:dyDescent="0.3">
      <c r="A3" s="2" t="s">
        <v>16</v>
      </c>
      <c r="B3" s="17" t="str">
        <f>"emp"&amp;TEXT(VALUE(SUBSTITUTE(SUBSTITUTE(UPPER(TRIM(A3)),"EMP",""),"-","")),"000")</f>
        <v>emp002</v>
      </c>
      <c r="C3" s="2" t="s">
        <v>17</v>
      </c>
      <c r="D3" s="8">
        <v>44242</v>
      </c>
      <c r="E3" s="8">
        <f>IF(D3="","",
 IF(ISNUMBER(D3),D3,
 IFERROR(DATEVALUE(D3),
 IFERROR(DATEVALUE(SUBSTITUTE(SUBSTITUTE(SUBSTITUTE(LOWER(D3),"th",""),".","/"),"-","/")),"Check"))))</f>
        <v>44242</v>
      </c>
      <c r="F3" s="2" t="s">
        <v>18</v>
      </c>
      <c r="G3" s="2" t="s">
        <v>19</v>
      </c>
      <c r="H3" s="2" t="s">
        <v>13</v>
      </c>
      <c r="I3" s="9" t="s">
        <v>20</v>
      </c>
      <c r="J3" s="10" t="s">
        <v>21</v>
      </c>
      <c r="K3" s="1"/>
      <c r="L3" s="54">
        <f t="shared" si="0"/>
        <v>2021</v>
      </c>
      <c r="M3" s="18" t="str">
        <f t="shared" si="1"/>
        <v>Q1</v>
      </c>
      <c r="N3" t="str">
        <f t="shared" si="2"/>
        <v>2021-Q1</v>
      </c>
    </row>
    <row r="4" spans="1:14" x14ac:dyDescent="0.3">
      <c r="A4" s="2" t="s">
        <v>22</v>
      </c>
      <c r="B4" s="17" t="str">
        <f>"emp"&amp;TEXT(VALUE(SUBSTITUTE(SUBSTITUTE(UPPER(TRIM(A4)),"EMP",""),"-","")),"000")</f>
        <v>emp003</v>
      </c>
      <c r="C4" s="2" t="s">
        <v>23</v>
      </c>
      <c r="D4" s="8">
        <v>44022</v>
      </c>
      <c r="E4" s="8">
        <f>IF(D4="","",
 IF(ISNUMBER(D4),D4,
 IFERROR(DATEVALUE(D4),
 IFERROR(DATEVALUE(SUBSTITUTE(SUBSTITUTE(SUBSTITUTE(LOWER(D4),"th",""),".","/"),"-","/")),"Check"))))</f>
        <v>44022</v>
      </c>
      <c r="F4" s="2" t="s">
        <v>24</v>
      </c>
      <c r="G4" s="2" t="s">
        <v>25</v>
      </c>
      <c r="H4" s="2" t="s">
        <v>13</v>
      </c>
      <c r="I4" s="9" t="s">
        <v>26</v>
      </c>
      <c r="J4" s="10" t="s">
        <v>27</v>
      </c>
      <c r="K4" s="1"/>
      <c r="L4" s="54">
        <f t="shared" si="0"/>
        <v>2020</v>
      </c>
      <c r="M4" s="18" t="str">
        <f t="shared" si="1"/>
        <v>Q3</v>
      </c>
      <c r="N4" t="str">
        <f t="shared" si="2"/>
        <v>2020-Q3</v>
      </c>
    </row>
    <row r="5" spans="1:14" x14ac:dyDescent="0.3">
      <c r="A5" s="2" t="s">
        <v>28</v>
      </c>
      <c r="B5" s="17" t="str">
        <f>"emp"&amp;TEXT(VALUE(SUBSTITUTE(SUBSTITUTE(UPPER(TRIM(A5)),"EMP",""),"-","")),"000")</f>
        <v>emp004</v>
      </c>
      <c r="C5" s="2" t="s">
        <v>29</v>
      </c>
      <c r="D5" s="2" t="s">
        <v>30</v>
      </c>
      <c r="E5" s="8">
        <f>IF(D5="","",
 IF(ISNUMBER(D5),D5,
 IFERROR(DATEVALUE(D5),
 IFERROR(DATEVALUE(SUBSTITUTE(SUBSTITUTE(SUBSTITUTE(LOWER(D5),"th",""),".","/"),"-","/")),"Check"))))</f>
        <v>43539</v>
      </c>
      <c r="F5" s="2" t="s">
        <v>31</v>
      </c>
      <c r="G5" s="2" t="s">
        <v>19</v>
      </c>
      <c r="H5" s="2" t="s">
        <v>13</v>
      </c>
      <c r="I5" s="9" t="s">
        <v>32</v>
      </c>
      <c r="J5" s="10" t="s">
        <v>33</v>
      </c>
      <c r="K5" s="1"/>
      <c r="L5" s="54">
        <f t="shared" si="0"/>
        <v>2019</v>
      </c>
      <c r="M5" s="18" t="str">
        <f t="shared" si="1"/>
        <v>Q1</v>
      </c>
      <c r="N5" t="str">
        <f t="shared" si="2"/>
        <v>2019-Q1</v>
      </c>
    </row>
    <row r="6" spans="1:14" ht="28.8" x14ac:dyDescent="0.3">
      <c r="A6" s="2" t="s">
        <v>34</v>
      </c>
      <c r="B6" s="17" t="str">
        <f>"emp"&amp;TEXT(VALUE(SUBSTITUTE(SUBSTITUTE(UPPER(TRIM(A6)),"EMP",""),"-","")),"000")</f>
        <v>emp005</v>
      </c>
      <c r="C6" s="2" t="s">
        <v>35</v>
      </c>
      <c r="D6" s="8">
        <v>45017</v>
      </c>
      <c r="E6" s="8">
        <f>IF(D6="","",
 IF(ISNUMBER(D6),D6,
 IFERROR(DATEVALUE(D6),
 IFERROR(DATEVALUE(SUBSTITUTE(SUBSTITUTE(SUBSTITUTE(LOWER(D6),"th",""),".","/"),"-","/")),"Check"))))</f>
        <v>45017</v>
      </c>
      <c r="F6" s="2" t="s">
        <v>36</v>
      </c>
      <c r="G6" s="2" t="s">
        <v>12</v>
      </c>
      <c r="H6" s="2" t="s">
        <v>13</v>
      </c>
      <c r="I6" s="9" t="s">
        <v>37</v>
      </c>
      <c r="J6" s="11" t="s">
        <v>38</v>
      </c>
      <c r="K6" s="10" t="s">
        <v>39</v>
      </c>
      <c r="L6" s="54">
        <f t="shared" si="0"/>
        <v>2023</v>
      </c>
      <c r="M6" s="18" t="str">
        <f t="shared" si="1"/>
        <v>Q2</v>
      </c>
      <c r="N6" t="str">
        <f t="shared" si="2"/>
        <v>2023-Q2</v>
      </c>
    </row>
    <row r="7" spans="1:14" x14ac:dyDescent="0.3">
      <c r="A7" s="2" t="s">
        <v>40</v>
      </c>
      <c r="B7" s="17" t="str">
        <f>"emp"&amp;TEXT(VALUE(SUBSTITUTE(SUBSTITUTE(UPPER(TRIM(A7)),"EMP",""),"-","")),"000")</f>
        <v>emp006</v>
      </c>
      <c r="C7" s="2" t="s">
        <v>41</v>
      </c>
      <c r="D7" s="8">
        <v>43405</v>
      </c>
      <c r="E7" s="8">
        <f>IF(D7="","",
 IF(ISNUMBER(D7),D7,
 IFERROR(DATEVALUE(D7),
 IFERROR(DATEVALUE(SUBSTITUTE(SUBSTITUTE(SUBSTITUTE(LOWER(D7),"th",""),".","/"),"-","/")),"Check"))))</f>
        <v>43405</v>
      </c>
      <c r="F7" s="2" t="s">
        <v>42</v>
      </c>
      <c r="G7" s="2" t="s">
        <v>25</v>
      </c>
      <c r="H7" s="2" t="s">
        <v>13</v>
      </c>
      <c r="I7" s="9" t="s">
        <v>43</v>
      </c>
      <c r="J7" s="10" t="s">
        <v>15</v>
      </c>
      <c r="K7" s="1"/>
      <c r="L7" s="54">
        <f t="shared" si="0"/>
        <v>2018</v>
      </c>
      <c r="M7" s="18" t="str">
        <f t="shared" si="1"/>
        <v>Q4</v>
      </c>
      <c r="N7" t="str">
        <f t="shared" si="2"/>
        <v>2018-Q4</v>
      </c>
    </row>
    <row r="8" spans="1:14" x14ac:dyDescent="0.3">
      <c r="A8" s="2" t="s">
        <v>44</v>
      </c>
      <c r="B8" s="17" t="str">
        <f>"emp"&amp;TEXT(VALUE(SUBSTITUTE(SUBSTITUTE(UPPER(TRIM(A8)),"EMP",""),"-","")),"000")</f>
        <v>emp007</v>
      </c>
      <c r="C8" s="2" t="s">
        <v>45</v>
      </c>
      <c r="D8" s="8">
        <v>42898</v>
      </c>
      <c r="E8" s="8">
        <f>IF(D8="","",
 IF(ISNUMBER(D8),D8,
 IFERROR(DATEVALUE(D8),
 IFERROR(DATEVALUE(SUBSTITUTE(SUBSTITUTE(SUBSTITUTE(LOWER(D8),"th",""),".","/"),"-","/")),"Check"))))</f>
        <v>42898</v>
      </c>
      <c r="F8" s="2" t="s">
        <v>31</v>
      </c>
      <c r="G8" s="2" t="s">
        <v>19</v>
      </c>
      <c r="H8" s="2" t="s">
        <v>13</v>
      </c>
      <c r="I8" s="9" t="s">
        <v>46</v>
      </c>
      <c r="J8" s="1"/>
      <c r="K8" s="1"/>
      <c r="L8" s="54">
        <f t="shared" si="0"/>
        <v>2017</v>
      </c>
      <c r="M8" s="18" t="str">
        <f t="shared" si="1"/>
        <v>Q2</v>
      </c>
      <c r="N8" t="str">
        <f t="shared" si="2"/>
        <v>2017-Q2</v>
      </c>
    </row>
    <row r="9" spans="1:14" x14ac:dyDescent="0.3">
      <c r="A9" s="2" t="s">
        <v>47</v>
      </c>
      <c r="B9" s="17" t="str">
        <f>"emp"&amp;TEXT(VALUE(SUBSTITUTE(SUBSTITUTE(UPPER(TRIM(A9)),"EMP",""),"-","")),"000")</f>
        <v>emp008</v>
      </c>
      <c r="C9" s="2" t="s">
        <v>48</v>
      </c>
      <c r="D9" s="2" t="s">
        <v>49</v>
      </c>
      <c r="E9" s="8">
        <f>IF(D9="","",
 IF(ISNUMBER(D9),D9,
 IFERROR(DATEVALUE(D9),
 IFERROR(DATEVALUE(SUBSTITUTE(SUBSTITUTE(SUBSTITUTE(LOWER(D9),"th",""),".","/"),"-","/")),"Check"))))</f>
        <v>44020</v>
      </c>
      <c r="F9" s="2" t="s">
        <v>31</v>
      </c>
      <c r="G9" s="2" t="s">
        <v>12</v>
      </c>
      <c r="H9" s="2" t="s">
        <v>13</v>
      </c>
      <c r="I9" s="9" t="s">
        <v>50</v>
      </c>
      <c r="J9" s="10" t="s">
        <v>51</v>
      </c>
      <c r="K9" s="1"/>
      <c r="L9" s="54">
        <f t="shared" si="0"/>
        <v>2020</v>
      </c>
      <c r="M9" s="18" t="str">
        <f t="shared" si="1"/>
        <v>Q3</v>
      </c>
      <c r="N9" t="str">
        <f t="shared" si="2"/>
        <v>2020-Q3</v>
      </c>
    </row>
    <row r="10" spans="1:14" x14ac:dyDescent="0.3">
      <c r="A10" s="2" t="s">
        <v>52</v>
      </c>
      <c r="B10" s="17" t="str">
        <f>"emp"&amp;TEXT(VALUE(SUBSTITUTE(SUBSTITUTE(UPPER(TRIM(A10)),"EMP",""),"-","")),"000")</f>
        <v>emp009</v>
      </c>
      <c r="C10" s="2" t="s">
        <v>53</v>
      </c>
      <c r="D10" s="8">
        <v>44571</v>
      </c>
      <c r="E10" s="8">
        <f>IF(D10="","",
 IF(ISNUMBER(D10),D10,
 IFERROR(DATEVALUE(D10),
 IFERROR(DATEVALUE(SUBSTITUTE(SUBSTITUTE(SUBSTITUTE(LOWER(D10),"th",""),".","/"),"-","/")),"Check"))))</f>
        <v>44571</v>
      </c>
      <c r="F10" s="2" t="s">
        <v>54</v>
      </c>
      <c r="G10" s="2" t="s">
        <v>12</v>
      </c>
      <c r="H10" s="2" t="s">
        <v>55</v>
      </c>
      <c r="I10" s="9" t="s">
        <v>56</v>
      </c>
      <c r="J10" s="1"/>
      <c r="K10" s="1"/>
      <c r="L10" s="54">
        <f t="shared" si="0"/>
        <v>2022</v>
      </c>
      <c r="M10" s="18" t="str">
        <f t="shared" si="1"/>
        <v>Q1</v>
      </c>
      <c r="N10" t="str">
        <f t="shared" si="2"/>
        <v>2022-Q1</v>
      </c>
    </row>
    <row r="11" spans="1:14" x14ac:dyDescent="0.3">
      <c r="A11" s="2" t="s">
        <v>57</v>
      </c>
      <c r="B11" s="17" t="str">
        <f>"emp"&amp;TEXT(VALUE(SUBSTITUTE(SUBSTITUTE(UPPER(TRIM(A11)),"EMP",""),"-","")),"000")</f>
        <v>emp010</v>
      </c>
      <c r="C11" s="2" t="s">
        <v>58</v>
      </c>
      <c r="D11" s="12">
        <v>45673</v>
      </c>
      <c r="E11" s="8">
        <f>IF(D11="","",
 IF(ISNUMBER(D11),D11,
 IFERROR(DATEVALUE(D11),
 IFERROR(DATEVALUE(SUBSTITUTE(SUBSTITUTE(SUBSTITUTE(LOWER(D11),"th",""),".","/"),"-","/")),"Check"))))</f>
        <v>45673</v>
      </c>
      <c r="F11" s="2" t="s">
        <v>31</v>
      </c>
      <c r="G11" s="2" t="s">
        <v>25</v>
      </c>
      <c r="H11" s="2" t="s">
        <v>55</v>
      </c>
      <c r="I11" s="9" t="s">
        <v>59</v>
      </c>
      <c r="J11" s="1"/>
      <c r="K11" s="1"/>
      <c r="L11" s="54">
        <f t="shared" si="0"/>
        <v>2025</v>
      </c>
      <c r="M11" s="18" t="str">
        <f t="shared" si="1"/>
        <v>Q1</v>
      </c>
      <c r="N11" t="str">
        <f t="shared" si="2"/>
        <v>2025-Q1</v>
      </c>
    </row>
    <row r="12" spans="1:14" x14ac:dyDescent="0.3">
      <c r="A12" s="2" t="s">
        <v>60</v>
      </c>
      <c r="B12" s="17" t="str">
        <f>"emp"&amp;TEXT(VALUE(SUBSTITUTE(SUBSTITUTE(UPPER(TRIM(A12)),"EMP",""),"-","")),"000")</f>
        <v>emp011</v>
      </c>
      <c r="C12" s="2" t="s">
        <v>61</v>
      </c>
      <c r="D12" s="8">
        <v>43713</v>
      </c>
      <c r="E12" s="8">
        <f>IF(D12="","",
 IF(ISNUMBER(D12),D12,
 IFERROR(DATEVALUE(D12),
 IFERROR(DATEVALUE(SUBSTITUTE(SUBSTITUTE(SUBSTITUTE(LOWER(D12),"th",""),".","/"),"-","/")),"Check"))))</f>
        <v>43713</v>
      </c>
      <c r="F12" s="2" t="s">
        <v>31</v>
      </c>
      <c r="G12" s="2" t="s">
        <v>19</v>
      </c>
      <c r="H12" s="2" t="s">
        <v>13</v>
      </c>
      <c r="I12" s="9" t="s">
        <v>62</v>
      </c>
      <c r="J12" s="10" t="s">
        <v>63</v>
      </c>
      <c r="K12" s="1"/>
      <c r="L12" s="54">
        <f t="shared" si="0"/>
        <v>2019</v>
      </c>
      <c r="M12" s="18" t="str">
        <f t="shared" si="1"/>
        <v>Q3</v>
      </c>
      <c r="N12" t="str">
        <f t="shared" si="2"/>
        <v>2019-Q3</v>
      </c>
    </row>
    <row r="13" spans="1:14" x14ac:dyDescent="0.3">
      <c r="A13" s="2" t="s">
        <v>64</v>
      </c>
      <c r="B13" s="17" t="str">
        <f>"emp"&amp;TEXT(VALUE(SUBSTITUTE(SUBSTITUTE(UPPER(TRIM(A13)),"EMP",""),"-","")),"000")</f>
        <v>emp012</v>
      </c>
      <c r="C13" s="2" t="s">
        <v>65</v>
      </c>
      <c r="D13" s="8">
        <v>44260</v>
      </c>
      <c r="E13" s="8">
        <f>IF(D13="","",
 IF(ISNUMBER(D13),D13,
 IFERROR(DATEVALUE(D13),
 IFERROR(DATEVALUE(SUBSTITUTE(SUBSTITUTE(SUBSTITUTE(LOWER(D13),"th",""),".","/"),"-","/")),"Check"))))</f>
        <v>44260</v>
      </c>
      <c r="F13" s="2" t="s">
        <v>54</v>
      </c>
      <c r="G13" s="2" t="s">
        <v>12</v>
      </c>
      <c r="H13" s="2" t="s">
        <v>55</v>
      </c>
      <c r="I13" s="9" t="s">
        <v>66</v>
      </c>
      <c r="J13" s="1"/>
      <c r="K13" s="1"/>
      <c r="L13" s="54">
        <f t="shared" si="0"/>
        <v>2021</v>
      </c>
      <c r="M13" s="18" t="str">
        <f t="shared" si="1"/>
        <v>Q1</v>
      </c>
      <c r="N13" t="str">
        <f t="shared" si="2"/>
        <v>2021-Q1</v>
      </c>
    </row>
    <row r="14" spans="1:14" x14ac:dyDescent="0.3">
      <c r="A14" s="2" t="s">
        <v>67</v>
      </c>
      <c r="B14" s="17" t="str">
        <f>"emp"&amp;TEXT(VALUE(SUBSTITUTE(SUBSTITUTE(UPPER(TRIM(A14)),"EMP",""),"-","")),"000")</f>
        <v>emp013</v>
      </c>
      <c r="C14" s="2" t="s">
        <v>68</v>
      </c>
      <c r="D14" s="8">
        <v>45301</v>
      </c>
      <c r="E14" s="8">
        <f>IF(D14="","",
 IF(ISNUMBER(D14),D14,
 IFERROR(DATEVALUE(D14),
 IFERROR(DATEVALUE(SUBSTITUTE(SUBSTITUTE(SUBSTITUTE(LOWER(D14),"th",""),".","/"),"-","/")),"Check"))))</f>
        <v>45301</v>
      </c>
      <c r="F14" s="2" t="s">
        <v>11</v>
      </c>
      <c r="G14" s="2" t="s">
        <v>25</v>
      </c>
      <c r="H14" s="2" t="s">
        <v>13</v>
      </c>
      <c r="I14" s="9" t="s">
        <v>69</v>
      </c>
      <c r="J14" s="10" t="s">
        <v>63</v>
      </c>
      <c r="K14" s="1"/>
      <c r="L14" s="54">
        <f t="shared" si="0"/>
        <v>2024</v>
      </c>
      <c r="M14" s="18" t="str">
        <f t="shared" si="1"/>
        <v>Q1</v>
      </c>
      <c r="N14" t="str">
        <f t="shared" si="2"/>
        <v>2024-Q1</v>
      </c>
    </row>
    <row r="15" spans="1:14" x14ac:dyDescent="0.3">
      <c r="A15" s="2" t="s">
        <v>70</v>
      </c>
      <c r="B15" s="17" t="str">
        <f>"emp"&amp;TEXT(VALUE(SUBSTITUTE(SUBSTITUTE(UPPER(TRIM(A15)),"EMP",""),"-","")),"000")</f>
        <v>emp014</v>
      </c>
      <c r="C15" s="2" t="s">
        <v>71</v>
      </c>
      <c r="D15" s="8">
        <v>42780</v>
      </c>
      <c r="E15" s="8">
        <f>IF(D15="","",
 IF(ISNUMBER(D15),D15,
 IFERROR(DATEVALUE(D15),
 IFERROR(DATEVALUE(SUBSTITUTE(SUBSTITUTE(SUBSTITUTE(LOWER(D15),"th",""),".","/"),"-","/")),"Check"))))</f>
        <v>42780</v>
      </c>
      <c r="F15" s="2" t="s">
        <v>31</v>
      </c>
      <c r="G15" s="2" t="s">
        <v>19</v>
      </c>
      <c r="H15" s="2" t="s">
        <v>13</v>
      </c>
      <c r="I15" s="9" t="s">
        <v>72</v>
      </c>
      <c r="J15" s="10" t="s">
        <v>73</v>
      </c>
      <c r="K15" s="1"/>
      <c r="L15" s="54">
        <f t="shared" si="0"/>
        <v>2017</v>
      </c>
      <c r="M15" s="18" t="str">
        <f t="shared" si="1"/>
        <v>Q1</v>
      </c>
      <c r="N15" t="str">
        <f t="shared" si="2"/>
        <v>2017-Q1</v>
      </c>
    </row>
    <row r="16" spans="1:14" x14ac:dyDescent="0.3">
      <c r="A16" s="2" t="s">
        <v>74</v>
      </c>
      <c r="B16" s="17" t="str">
        <f>"emp"&amp;TEXT(VALUE(SUBSTITUTE(SUBSTITUTE(UPPER(TRIM(A16)),"EMP",""),"-","")),"000")</f>
        <v>emp015</v>
      </c>
      <c r="C16" s="2" t="s">
        <v>75</v>
      </c>
      <c r="D16" s="2" t="s">
        <v>76</v>
      </c>
      <c r="E16" s="8">
        <f>IF(D16="","",
 IF(ISNUMBER(D16),D16,
 IFERROR(DATEVALUE(D16),
 IFERROR(DATEVALUE(SUBSTITUTE(SUBSTITUTE(SUBSTITUTE(LOWER(D16),"th",""),".","/"),"-","/")),"Check"))))</f>
        <v>43836</v>
      </c>
      <c r="F16" s="2" t="s">
        <v>24</v>
      </c>
      <c r="G16" s="2" t="s">
        <v>12</v>
      </c>
      <c r="H16" s="2" t="s">
        <v>13</v>
      </c>
      <c r="I16" s="9" t="s">
        <v>56</v>
      </c>
      <c r="J16" s="10" t="s">
        <v>77</v>
      </c>
      <c r="K16" s="10" t="s">
        <v>78</v>
      </c>
      <c r="L16" s="54">
        <f t="shared" si="0"/>
        <v>2020</v>
      </c>
      <c r="M16" s="18" t="str">
        <f t="shared" si="1"/>
        <v>Q1</v>
      </c>
      <c r="N16" t="str">
        <f t="shared" si="2"/>
        <v>2020-Q1</v>
      </c>
    </row>
    <row r="17" spans="1:14" ht="28.8" x14ac:dyDescent="0.3">
      <c r="A17" s="2" t="s">
        <v>79</v>
      </c>
      <c r="B17" s="17" t="str">
        <f>"emp"&amp;TEXT(VALUE(SUBSTITUTE(SUBSTITUTE(UPPER(TRIM(A17)),"EMP",""),"-","")),"000")</f>
        <v>emp016</v>
      </c>
      <c r="C17" s="2" t="s">
        <v>80</v>
      </c>
      <c r="D17" s="8">
        <v>42705</v>
      </c>
      <c r="E17" s="8">
        <f>IF(D17="","",
 IF(ISNUMBER(D17),D17,
 IFERROR(DATEVALUE(D17),
 IFERROR(DATEVALUE(SUBSTITUTE(SUBSTITUTE(SUBSTITUTE(LOWER(D17),"th",""),".","/"),"-","/")),"Check"))))</f>
        <v>42705</v>
      </c>
      <c r="F17" s="2" t="s">
        <v>54</v>
      </c>
      <c r="G17" s="2" t="s">
        <v>25</v>
      </c>
      <c r="H17" s="2" t="s">
        <v>13</v>
      </c>
      <c r="I17" s="9" t="s">
        <v>69</v>
      </c>
      <c r="J17" s="11" t="s">
        <v>81</v>
      </c>
      <c r="K17" s="1"/>
      <c r="L17" s="54">
        <f t="shared" si="0"/>
        <v>2016</v>
      </c>
      <c r="M17" s="18" t="str">
        <f t="shared" si="1"/>
        <v>Q4</v>
      </c>
      <c r="N17" t="str">
        <f t="shared" si="2"/>
        <v>2016-Q4</v>
      </c>
    </row>
    <row r="18" spans="1:14" x14ac:dyDescent="0.3">
      <c r="A18" s="2" t="s">
        <v>82</v>
      </c>
      <c r="B18" s="17" t="str">
        <f>"emp"&amp;TEXT(VALUE(SUBSTITUTE(SUBSTITUTE(UPPER(TRIM(A18)),"EMP",""),"-","")),"000")</f>
        <v>emp017</v>
      </c>
      <c r="C18" s="2" t="s">
        <v>83</v>
      </c>
      <c r="D18" s="8">
        <v>44423</v>
      </c>
      <c r="E18" s="8">
        <f>IF(D18="","",
 IF(ISNUMBER(D18),D18,
 IFERROR(DATEVALUE(D18),
 IFERROR(DATEVALUE(SUBSTITUTE(SUBSTITUTE(SUBSTITUTE(LOWER(D18),"th",""),".","/"),"-","/")),"Check"))))</f>
        <v>44423</v>
      </c>
      <c r="F18" s="2" t="s">
        <v>31</v>
      </c>
      <c r="G18" s="2" t="s">
        <v>19</v>
      </c>
      <c r="H18" s="2" t="s">
        <v>13</v>
      </c>
      <c r="I18" s="9" t="s">
        <v>84</v>
      </c>
      <c r="J18" s="10" t="s">
        <v>33</v>
      </c>
      <c r="K18" s="1"/>
      <c r="L18" s="54">
        <f t="shared" si="0"/>
        <v>2021</v>
      </c>
      <c r="M18" s="18" t="str">
        <f t="shared" si="1"/>
        <v>Q3</v>
      </c>
      <c r="N18" t="str">
        <f t="shared" si="2"/>
        <v>2021-Q3</v>
      </c>
    </row>
    <row r="19" spans="1:14" x14ac:dyDescent="0.3">
      <c r="A19" s="2" t="s">
        <v>85</v>
      </c>
      <c r="B19" s="17" t="str">
        <f>"emp"&amp;TEXT(VALUE(SUBSTITUTE(SUBSTITUTE(UPPER(TRIM(A19)),"EMP",""),"-","")),"000")</f>
        <v>emp018</v>
      </c>
      <c r="C19" s="2" t="s">
        <v>86</v>
      </c>
      <c r="D19" s="8">
        <v>44621</v>
      </c>
      <c r="E19" s="8">
        <f>IF(D19="","",
 IF(ISNUMBER(D19),D19,
 IFERROR(DATEVALUE(D19),
 IFERROR(DATEVALUE(SUBSTITUTE(SUBSTITUTE(SUBSTITUTE(LOWER(D19),"th",""),".","/"),"-","/")),"Check"))))</f>
        <v>44621</v>
      </c>
      <c r="F19" s="2" t="s">
        <v>54</v>
      </c>
      <c r="G19" s="2" t="s">
        <v>12</v>
      </c>
      <c r="H19" s="2" t="s">
        <v>55</v>
      </c>
      <c r="I19" s="9" t="s">
        <v>87</v>
      </c>
      <c r="J19" s="1"/>
      <c r="K19" s="1"/>
      <c r="L19" s="54">
        <f t="shared" si="0"/>
        <v>2022</v>
      </c>
      <c r="M19" s="18" t="str">
        <f t="shared" si="1"/>
        <v>Q1</v>
      </c>
      <c r="N19" t="str">
        <f t="shared" si="2"/>
        <v>2022-Q1</v>
      </c>
    </row>
    <row r="20" spans="1:14" x14ac:dyDescent="0.3">
      <c r="A20" s="2" t="s">
        <v>88</v>
      </c>
      <c r="B20" s="17" t="str">
        <f>"emp"&amp;TEXT(VALUE(SUBSTITUTE(SUBSTITUTE(UPPER(TRIM(A20)),"EMP",""),"-","")),"000")</f>
        <v>emp019</v>
      </c>
      <c r="C20" s="2" t="s">
        <v>89</v>
      </c>
      <c r="D20" s="8">
        <v>44123</v>
      </c>
      <c r="E20" s="8">
        <f>IF(D20="","",
 IF(ISNUMBER(D20),D20,
 IFERROR(DATEVALUE(D20),
 IFERROR(DATEVALUE(SUBSTITUTE(SUBSTITUTE(SUBSTITUTE(LOWER(D20),"th",""),".","/"),"-","/")),"Check"))))</f>
        <v>44123</v>
      </c>
      <c r="F20" s="2" t="s">
        <v>31</v>
      </c>
      <c r="G20" s="2" t="s">
        <v>25</v>
      </c>
      <c r="H20" s="2" t="s">
        <v>13</v>
      </c>
      <c r="I20" s="9" t="s">
        <v>26</v>
      </c>
      <c r="J20" s="10" t="s">
        <v>51</v>
      </c>
      <c r="K20" s="1"/>
      <c r="L20" s="54">
        <f t="shared" si="0"/>
        <v>2020</v>
      </c>
      <c r="M20" s="18" t="str">
        <f t="shared" si="1"/>
        <v>Q4</v>
      </c>
      <c r="N20" t="str">
        <f t="shared" si="2"/>
        <v>2020-Q4</v>
      </c>
    </row>
    <row r="21" spans="1:14" x14ac:dyDescent="0.3">
      <c r="A21" s="2" t="s">
        <v>90</v>
      </c>
      <c r="B21" s="17" t="str">
        <f>"emp"&amp;TEXT(VALUE(SUBSTITUTE(SUBSTITUTE(UPPER(TRIM(A21)),"EMP",""),"-","")),"000")</f>
        <v>emp020</v>
      </c>
      <c r="C21" s="2" t="s">
        <v>91</v>
      </c>
      <c r="D21" s="8">
        <v>43668</v>
      </c>
      <c r="E21" s="8">
        <f>IF(D21="","",
 IF(ISNUMBER(D21),D21,
 IFERROR(DATEVALUE(D21),
 IFERROR(DATEVALUE(SUBSTITUTE(SUBSTITUTE(SUBSTITUTE(LOWER(D21),"th",""),".","/"),"-","/")),"Check"))))</f>
        <v>43668</v>
      </c>
      <c r="F21" s="2" t="s">
        <v>36</v>
      </c>
      <c r="G21" s="2" t="s">
        <v>19</v>
      </c>
      <c r="H21" s="2" t="s">
        <v>13</v>
      </c>
      <c r="I21" s="9" t="s">
        <v>92</v>
      </c>
      <c r="J21" s="10" t="s">
        <v>93</v>
      </c>
      <c r="K21" s="10" t="s">
        <v>94</v>
      </c>
      <c r="L21" s="54">
        <f t="shared" si="0"/>
        <v>2019</v>
      </c>
      <c r="M21" s="18" t="str">
        <f t="shared" si="1"/>
        <v>Q3</v>
      </c>
      <c r="N21" t="str">
        <f t="shared" si="2"/>
        <v>2019-Q3</v>
      </c>
    </row>
    <row r="22" spans="1:14" x14ac:dyDescent="0.3">
      <c r="A22" s="2" t="s">
        <v>95</v>
      </c>
      <c r="B22" s="17" t="str">
        <f>"emp"&amp;TEXT(VALUE(SUBSTITUTE(SUBSTITUTE(UPPER(TRIM(A22)),"EMP",""),"-","")),"000")</f>
        <v>emp021</v>
      </c>
      <c r="C22" s="2" t="s">
        <v>96</v>
      </c>
      <c r="D22" s="8">
        <v>44207</v>
      </c>
      <c r="E22" s="8">
        <f>IF(D22="","",
 IF(ISNUMBER(D22),D22,
 IFERROR(DATEVALUE(D22),
 IFERROR(DATEVALUE(SUBSTITUTE(SUBSTITUTE(SUBSTITUTE(LOWER(D22),"th",""),".","/"),"-","/")),"Check"))))</f>
        <v>44207</v>
      </c>
      <c r="F22" s="2" t="s">
        <v>54</v>
      </c>
      <c r="G22" s="2" t="s">
        <v>12</v>
      </c>
      <c r="H22" s="2" t="s">
        <v>55</v>
      </c>
      <c r="I22" s="9" t="s">
        <v>14</v>
      </c>
      <c r="J22" s="1"/>
      <c r="K22" s="1"/>
      <c r="L22" s="54">
        <f t="shared" si="0"/>
        <v>2021</v>
      </c>
      <c r="M22" s="18" t="str">
        <f t="shared" si="1"/>
        <v>Q1</v>
      </c>
      <c r="N22" t="str">
        <f t="shared" si="2"/>
        <v>2021-Q1</v>
      </c>
    </row>
    <row r="23" spans="1:14" x14ac:dyDescent="0.3">
      <c r="A23" s="2" t="s">
        <v>97</v>
      </c>
      <c r="B23" s="17" t="str">
        <f>"emp"&amp;TEXT(VALUE(SUBSTITUTE(SUBSTITUTE(UPPER(TRIM(A23)),"EMP",""),"-","")),"000")</f>
        <v>emp022</v>
      </c>
      <c r="C23" s="2" t="s">
        <v>98</v>
      </c>
      <c r="D23" s="2" t="s">
        <v>99</v>
      </c>
      <c r="E23" s="8">
        <f>IF(D23="","",
 IF(ISNUMBER(D23),D23,
 IFERROR(DATEVALUE(D23),
 IFERROR(DATEVALUE(SUBSTITUTE(SUBSTITUTE(SUBSTITUTE(LOWER(D23),"th",""),".","/"),"-","/")),"Check"))))</f>
        <v>43193</v>
      </c>
      <c r="F23" s="2" t="s">
        <v>31</v>
      </c>
      <c r="G23" s="2" t="s">
        <v>25</v>
      </c>
      <c r="H23" s="2" t="s">
        <v>13</v>
      </c>
      <c r="I23" s="9" t="s">
        <v>100</v>
      </c>
      <c r="J23" s="10" t="s">
        <v>101</v>
      </c>
      <c r="K23" s="1"/>
      <c r="L23" s="54">
        <f t="shared" si="0"/>
        <v>2018</v>
      </c>
      <c r="M23" s="18" t="str">
        <f t="shared" si="1"/>
        <v>Q2</v>
      </c>
      <c r="N23" t="str">
        <f t="shared" si="2"/>
        <v>2018-Q2</v>
      </c>
    </row>
    <row r="24" spans="1:14" x14ac:dyDescent="0.3">
      <c r="A24" s="2" t="s">
        <v>102</v>
      </c>
      <c r="B24" s="17" t="str">
        <f>"emp"&amp;TEXT(VALUE(SUBSTITUTE(SUBSTITUTE(UPPER(TRIM(A24)),"EMP",""),"-","")),"000")</f>
        <v>emp023</v>
      </c>
      <c r="C24" s="2" t="s">
        <v>103</v>
      </c>
      <c r="D24" s="8">
        <v>42884</v>
      </c>
      <c r="E24" s="8">
        <f>IF(D24="","",
 IF(ISNUMBER(D24),D24,
 IFERROR(DATEVALUE(D24),
 IFERROR(DATEVALUE(SUBSTITUTE(SUBSTITUTE(SUBSTITUTE(LOWER(D24),"th",""),".","/"),"-","/")),"Check"))))</f>
        <v>42884</v>
      </c>
      <c r="F24" s="2" t="s">
        <v>24</v>
      </c>
      <c r="G24" s="2" t="s">
        <v>19</v>
      </c>
      <c r="H24" s="2" t="s">
        <v>13</v>
      </c>
      <c r="I24" s="9" t="s">
        <v>104</v>
      </c>
      <c r="J24" s="10" t="s">
        <v>105</v>
      </c>
      <c r="K24" s="1"/>
      <c r="L24" s="54">
        <f t="shared" si="0"/>
        <v>2017</v>
      </c>
      <c r="M24" s="18" t="str">
        <f t="shared" si="1"/>
        <v>Q2</v>
      </c>
      <c r="N24" t="str">
        <f t="shared" si="2"/>
        <v>2017-Q2</v>
      </c>
    </row>
    <row r="25" spans="1:14" x14ac:dyDescent="0.3">
      <c r="A25" s="2" t="s">
        <v>106</v>
      </c>
      <c r="B25" s="17" t="str">
        <f>"emp"&amp;TEXT(VALUE(SUBSTITUTE(SUBSTITUTE(UPPER(TRIM(A25)),"EMP",""),"-","")),"000")</f>
        <v>emp024</v>
      </c>
      <c r="C25" s="2" t="s">
        <v>107</v>
      </c>
      <c r="D25" s="8">
        <v>44805</v>
      </c>
      <c r="E25" s="8">
        <f>IF(D25="","",
 IF(ISNUMBER(D25),D25,
 IFERROR(DATEVALUE(D25),
 IFERROR(DATEVALUE(SUBSTITUTE(SUBSTITUTE(SUBSTITUTE(LOWER(D25),"th",""),".","/"),"-","/")),"Check"))))</f>
        <v>44805</v>
      </c>
      <c r="F25" s="2" t="s">
        <v>54</v>
      </c>
      <c r="G25" s="2" t="s">
        <v>12</v>
      </c>
      <c r="H25" s="2" t="s">
        <v>13</v>
      </c>
      <c r="I25" s="9" t="s">
        <v>46</v>
      </c>
      <c r="J25" s="10" t="s">
        <v>108</v>
      </c>
      <c r="K25" s="1"/>
      <c r="L25" s="54">
        <f t="shared" si="0"/>
        <v>2022</v>
      </c>
      <c r="M25" s="18" t="str">
        <f t="shared" si="1"/>
        <v>Q3</v>
      </c>
      <c r="N25" t="str">
        <f t="shared" si="2"/>
        <v>2022-Q3</v>
      </c>
    </row>
    <row r="26" spans="1:14" x14ac:dyDescent="0.3">
      <c r="A26" s="2" t="s">
        <v>109</v>
      </c>
      <c r="B26" s="17" t="str">
        <f>"emp"&amp;TEXT(VALUE(SUBSTITUTE(SUBSTITUTE(UPPER(TRIM(A26)),"EMP",""),"-","")),"000")</f>
        <v>emp025</v>
      </c>
      <c r="C26" s="2" t="s">
        <v>110</v>
      </c>
      <c r="D26" s="8">
        <v>43878</v>
      </c>
      <c r="E26" s="8">
        <f>IF(D26="","",
 IF(ISNUMBER(D26),D26,
 IFERROR(DATEVALUE(D26),
 IFERROR(DATEVALUE(SUBSTITUTE(SUBSTITUTE(SUBSTITUTE(LOWER(D26),"th",""),".","/"),"-","/")),"Check"))))</f>
        <v>43878</v>
      </c>
      <c r="F26" s="2" t="s">
        <v>31</v>
      </c>
      <c r="G26" s="2" t="s">
        <v>25</v>
      </c>
      <c r="H26" s="2" t="s">
        <v>13</v>
      </c>
      <c r="I26" s="9" t="s">
        <v>111</v>
      </c>
      <c r="J26" s="10" t="s">
        <v>21</v>
      </c>
      <c r="K26" s="1"/>
      <c r="L26" s="54">
        <f t="shared" si="0"/>
        <v>2020</v>
      </c>
      <c r="M26" s="18" t="str">
        <f t="shared" si="1"/>
        <v>Q1</v>
      </c>
      <c r="N26" t="str">
        <f t="shared" si="2"/>
        <v>2020-Q1</v>
      </c>
    </row>
    <row r="27" spans="1:14" x14ac:dyDescent="0.3">
      <c r="A27" s="2" t="s">
        <v>112</v>
      </c>
      <c r="B27" s="17" t="str">
        <f>"emp"&amp;TEXT(VALUE(SUBSTITUTE(SUBSTITUTE(UPPER(TRIM(A27)),"EMP",""),"-","")),"000")</f>
        <v>emp026</v>
      </c>
      <c r="C27" s="2" t="s">
        <v>113</v>
      </c>
      <c r="D27" s="8">
        <v>42439</v>
      </c>
      <c r="E27" s="8">
        <f>IF(D27="","",
 IF(ISNUMBER(D27),D27,
 IFERROR(DATEVALUE(D27),
 IFERROR(DATEVALUE(SUBSTITUTE(SUBSTITUTE(SUBSTITUTE(LOWER(D27),"th",""),".","/"),"-","/")),"Check"))))</f>
        <v>42439</v>
      </c>
      <c r="F27" s="2" t="s">
        <v>36</v>
      </c>
      <c r="G27" s="2" t="s">
        <v>19</v>
      </c>
      <c r="H27" s="2" t="s">
        <v>114</v>
      </c>
      <c r="I27" s="9" t="s">
        <v>50</v>
      </c>
      <c r="J27" s="1"/>
      <c r="K27" s="1"/>
      <c r="L27" s="54">
        <f t="shared" si="0"/>
        <v>2016</v>
      </c>
      <c r="M27" s="18" t="str">
        <f t="shared" si="1"/>
        <v>Q1</v>
      </c>
      <c r="N27" t="str">
        <f t="shared" si="2"/>
        <v>2016-Q1</v>
      </c>
    </row>
    <row r="28" spans="1:14" x14ac:dyDescent="0.3">
      <c r="A28" s="2" t="s">
        <v>115</v>
      </c>
      <c r="B28" s="17" t="str">
        <f>"emp"&amp;TEXT(VALUE(SUBSTITUTE(SUBSTITUTE(UPPER(TRIM(A28)),"EMP",""),"-","")),"000")</f>
        <v>emp027</v>
      </c>
      <c r="C28" s="2" t="s">
        <v>116</v>
      </c>
      <c r="D28" s="8">
        <v>43777</v>
      </c>
      <c r="E28" s="8">
        <f>IF(D28="","",
 IF(ISNUMBER(D28),D28,
 IFERROR(DATEVALUE(D28),
 IFERROR(DATEVALUE(SUBSTITUTE(SUBSTITUTE(SUBSTITUTE(LOWER(D28),"th",""),".","/"),"-","/")),"Check"))))</f>
        <v>43777</v>
      </c>
      <c r="F28" s="2" t="s">
        <v>31</v>
      </c>
      <c r="G28" s="2" t="s">
        <v>12</v>
      </c>
      <c r="H28" s="2" t="s">
        <v>13</v>
      </c>
      <c r="I28" s="9" t="s">
        <v>26</v>
      </c>
      <c r="J28" s="10" t="s">
        <v>117</v>
      </c>
      <c r="K28" s="1"/>
      <c r="L28" s="54">
        <f t="shared" si="0"/>
        <v>2019</v>
      </c>
      <c r="M28" s="18" t="str">
        <f t="shared" si="1"/>
        <v>Q4</v>
      </c>
      <c r="N28" t="str">
        <f t="shared" si="2"/>
        <v>2019-Q4</v>
      </c>
    </row>
    <row r="29" spans="1:14" x14ac:dyDescent="0.3">
      <c r="A29" s="2" t="s">
        <v>118</v>
      </c>
      <c r="B29" s="17" t="str">
        <f>"emp"&amp;TEXT(VALUE(SUBSTITUTE(SUBSTITUTE(UPPER(TRIM(A29)),"EMP",""),"-","")),"000")</f>
        <v>emp028</v>
      </c>
      <c r="C29" s="2" t="s">
        <v>119</v>
      </c>
      <c r="D29" s="8">
        <v>44361</v>
      </c>
      <c r="E29" s="8">
        <f>IF(D29="","",
 IF(ISNUMBER(D29),D29,
 IFERROR(DATEVALUE(D29),
 IFERROR(DATEVALUE(SUBSTITUTE(SUBSTITUTE(SUBSTITUTE(LOWER(D29),"th",""),".","/"),"-","/")),"Check"))))</f>
        <v>44361</v>
      </c>
      <c r="F29" s="2" t="s">
        <v>54</v>
      </c>
      <c r="G29" s="2" t="s">
        <v>25</v>
      </c>
      <c r="H29" s="2" t="s">
        <v>55</v>
      </c>
      <c r="I29" s="9" t="s">
        <v>100</v>
      </c>
      <c r="J29" s="10" t="s">
        <v>120</v>
      </c>
      <c r="K29" s="1"/>
      <c r="L29" s="54">
        <f t="shared" si="0"/>
        <v>2021</v>
      </c>
      <c r="M29" s="18" t="str">
        <f t="shared" si="1"/>
        <v>Q2</v>
      </c>
      <c r="N29" t="str">
        <f t="shared" si="2"/>
        <v>2021-Q2</v>
      </c>
    </row>
    <row r="30" spans="1:14" x14ac:dyDescent="0.3">
      <c r="A30" s="2" t="s">
        <v>121</v>
      </c>
      <c r="B30" s="17" t="str">
        <f>"emp"&amp;TEXT(VALUE(SUBSTITUTE(SUBSTITUTE(UPPER(TRIM(A30)),"EMP",""),"-","")),"000")</f>
        <v>emp029</v>
      </c>
      <c r="C30" s="2" t="s">
        <v>122</v>
      </c>
      <c r="D30" s="8">
        <v>43333</v>
      </c>
      <c r="E30" s="8">
        <f>IF(D30="","",
 IF(ISNUMBER(D30),D30,
 IFERROR(DATEVALUE(D30),
 IFERROR(DATEVALUE(SUBSTITUTE(SUBSTITUTE(SUBSTITUTE(LOWER(D30),"th",""),".","/"),"-","/")),"Check"))))</f>
        <v>43333</v>
      </c>
      <c r="F30" s="2" t="s">
        <v>24</v>
      </c>
      <c r="G30" s="2" t="s">
        <v>19</v>
      </c>
      <c r="H30" s="2" t="s">
        <v>13</v>
      </c>
      <c r="I30" s="9" t="s">
        <v>123</v>
      </c>
      <c r="J30" s="10" t="s">
        <v>93</v>
      </c>
      <c r="K30" s="1"/>
      <c r="L30" s="54">
        <f t="shared" si="0"/>
        <v>2018</v>
      </c>
      <c r="M30" s="18" t="str">
        <f t="shared" si="1"/>
        <v>Q3</v>
      </c>
      <c r="N30" t="str">
        <f t="shared" si="2"/>
        <v>2018-Q3</v>
      </c>
    </row>
    <row r="31" spans="1:14" x14ac:dyDescent="0.3">
      <c r="A31" s="2" t="s">
        <v>124</v>
      </c>
      <c r="B31" s="17" t="str">
        <f>"emp"&amp;TEXT(VALUE(SUBSTITUTE(SUBSTITUTE(UPPER(TRIM(A31)),"EMP",""),"-","")),"000")</f>
        <v>emp030</v>
      </c>
      <c r="C31" s="2" t="s">
        <v>125</v>
      </c>
      <c r="D31" s="8">
        <v>44900</v>
      </c>
      <c r="E31" s="8">
        <f>IF(D31="","",
 IF(ISNUMBER(D31),D31,
 IFERROR(DATEVALUE(D31),
 IFERROR(DATEVALUE(SUBSTITUTE(SUBSTITUTE(SUBSTITUTE(LOWER(D31),"th",""),".","/"),"-","/")),"Check"))))</f>
        <v>44900</v>
      </c>
      <c r="F31" s="2" t="s">
        <v>54</v>
      </c>
      <c r="G31" s="2" t="s">
        <v>12</v>
      </c>
      <c r="H31" s="2" t="s">
        <v>55</v>
      </c>
      <c r="I31" s="9" t="s">
        <v>126</v>
      </c>
      <c r="J31" s="1"/>
      <c r="K31" s="1"/>
      <c r="L31" s="54">
        <f t="shared" si="0"/>
        <v>2022</v>
      </c>
      <c r="M31" s="18" t="str">
        <f t="shared" si="1"/>
        <v>Q4</v>
      </c>
      <c r="N31" t="str">
        <f t="shared" si="2"/>
        <v>2022-Q4</v>
      </c>
    </row>
    <row r="32" spans="1:14" x14ac:dyDescent="0.3">
      <c r="A32" s="2" t="s">
        <v>127</v>
      </c>
      <c r="B32" s="17" t="str">
        <f>"emp"&amp;TEXT(VALUE(SUBSTITUTE(SUBSTITUTE(UPPER(TRIM(A32)),"EMP",""),"-","")),"000")</f>
        <v>emp031</v>
      </c>
      <c r="C32" s="2" t="s">
        <v>128</v>
      </c>
      <c r="D32" s="8">
        <v>42843</v>
      </c>
      <c r="E32" s="8">
        <f>IF(D32="","",
 IF(ISNUMBER(D32),D32,
 IFERROR(DATEVALUE(D32),
 IFERROR(DATEVALUE(SUBSTITUTE(SUBSTITUTE(SUBSTITUTE(LOWER(D32),"th",""),".","/"),"-","/")),"Check"))))</f>
        <v>42843</v>
      </c>
      <c r="F32" s="2" t="s">
        <v>31</v>
      </c>
      <c r="G32" s="2" t="s">
        <v>25</v>
      </c>
      <c r="H32" s="2" t="s">
        <v>114</v>
      </c>
      <c r="I32" s="9" t="s">
        <v>43</v>
      </c>
      <c r="J32" s="10" t="s">
        <v>77</v>
      </c>
      <c r="K32" s="1"/>
      <c r="L32" s="54">
        <f t="shared" si="0"/>
        <v>2017</v>
      </c>
      <c r="M32" s="18" t="str">
        <f t="shared" si="1"/>
        <v>Q2</v>
      </c>
      <c r="N32" t="str">
        <f t="shared" si="2"/>
        <v>2017-Q2</v>
      </c>
    </row>
    <row r="33" spans="1:14" x14ac:dyDescent="0.3">
      <c r="A33" s="2" t="s">
        <v>129</v>
      </c>
      <c r="B33" s="17" t="str">
        <f>"emp"&amp;TEXT(VALUE(SUBSTITUTE(SUBSTITUTE(UPPER(TRIM(A33)),"EMP",""),"-","")),"000")</f>
        <v>emp032</v>
      </c>
      <c r="C33" s="2" t="s">
        <v>130</v>
      </c>
      <c r="D33" s="8">
        <v>43492</v>
      </c>
      <c r="E33" s="8">
        <f>IF(D33="","",
 IF(ISNUMBER(D33),D33,
 IFERROR(DATEVALUE(D33),
 IFERROR(DATEVALUE(SUBSTITUTE(SUBSTITUTE(SUBSTITUTE(LOWER(D33),"th",""),".","/"),"-","/")),"Check"))))</f>
        <v>43492</v>
      </c>
      <c r="F33" s="2" t="s">
        <v>36</v>
      </c>
      <c r="G33" s="2" t="s">
        <v>19</v>
      </c>
      <c r="H33" s="2" t="s">
        <v>13</v>
      </c>
      <c r="I33" s="9" t="s">
        <v>131</v>
      </c>
      <c r="J33" s="10" t="s">
        <v>132</v>
      </c>
      <c r="K33" s="1"/>
      <c r="L33" s="54">
        <f t="shared" si="0"/>
        <v>2019</v>
      </c>
      <c r="M33" s="18" t="str">
        <f t="shared" si="1"/>
        <v>Q1</v>
      </c>
      <c r="N33" t="str">
        <f t="shared" si="2"/>
        <v>2019-Q1</v>
      </c>
    </row>
    <row r="34" spans="1:14" x14ac:dyDescent="0.3">
      <c r="A34" s="2" t="s">
        <v>133</v>
      </c>
      <c r="B34" s="17" t="str">
        <f>"emp"&amp;TEXT(VALUE(SUBSTITUTE(SUBSTITUTE(UPPER(TRIM(A34)),"EMP",""),"-","")),"000")</f>
        <v>emp033</v>
      </c>
      <c r="C34" s="2" t="s">
        <v>134</v>
      </c>
      <c r="D34" s="2" t="s">
        <v>135</v>
      </c>
      <c r="E34" s="8">
        <f>IF(D34="","",
 IF(ISNUMBER(D34),D34,
 IFERROR(DATEVALUE(D34),
 IFERROR(DATEVALUE(SUBSTITUTE(SUBSTITUTE(SUBSTITUTE(LOWER(D34),"th",""),".","/"),"-","/")),"Check"))))</f>
        <v>42530</v>
      </c>
      <c r="F34" s="2" t="s">
        <v>31</v>
      </c>
      <c r="G34" s="2" t="s">
        <v>12</v>
      </c>
      <c r="H34" s="2" t="s">
        <v>114</v>
      </c>
      <c r="I34" s="9" t="s">
        <v>37</v>
      </c>
      <c r="J34" s="1"/>
      <c r="K34" s="1"/>
      <c r="L34" s="54">
        <f t="shared" ref="L34:L65" si="3">IF(E34="","Missing",YEAR(E34))</f>
        <v>2016</v>
      </c>
      <c r="M34" s="18" t="str">
        <f t="shared" ref="M34:M65" si="4">IF(E34="","Missing","Q"&amp;ROUNDUP(MONTH(E34)/3,0))</f>
        <v>Q2</v>
      </c>
      <c r="N34" t="str">
        <f t="shared" ref="N34:N65" si="5">YEAR(E34)&amp;"-Q"&amp;ROUNDUP(MONTH(E34)/3,0)</f>
        <v>2016-Q2</v>
      </c>
    </row>
    <row r="35" spans="1:14" x14ac:dyDescent="0.3">
      <c r="A35" s="2" t="s">
        <v>136</v>
      </c>
      <c r="B35" s="17" t="str">
        <f>"emp"&amp;TEXT(VALUE(SUBSTITUTE(SUBSTITUTE(UPPER(TRIM(A35)),"EMP",""),"-","")),"000")</f>
        <v>emp034</v>
      </c>
      <c r="C35" s="2" t="s">
        <v>137</v>
      </c>
      <c r="D35" s="8">
        <v>43964</v>
      </c>
      <c r="E35" s="8">
        <f>IF(D35="","",
 IF(ISNUMBER(D35),D35,
 IFERROR(DATEVALUE(D35),
 IFERROR(DATEVALUE(SUBSTITUTE(SUBSTITUTE(SUBSTITUTE(LOWER(D35),"th",""),".","/"),"-","/")),"Check"))))</f>
        <v>43964</v>
      </c>
      <c r="F35" s="2" t="s">
        <v>54</v>
      </c>
      <c r="G35" s="2" t="s">
        <v>25</v>
      </c>
      <c r="H35" s="2" t="s">
        <v>55</v>
      </c>
      <c r="I35" s="9" t="s">
        <v>138</v>
      </c>
      <c r="J35" s="10" t="s">
        <v>101</v>
      </c>
      <c r="K35" s="1"/>
      <c r="L35" s="54">
        <f t="shared" si="3"/>
        <v>2020</v>
      </c>
      <c r="M35" s="18" t="str">
        <f t="shared" si="4"/>
        <v>Q2</v>
      </c>
      <c r="N35" t="str">
        <f t="shared" si="5"/>
        <v>2020-Q2</v>
      </c>
    </row>
    <row r="36" spans="1:14" x14ac:dyDescent="0.3">
      <c r="A36" s="2" t="s">
        <v>139</v>
      </c>
      <c r="B36" s="17" t="str">
        <f>"emp"&amp;TEXT(VALUE(SUBSTITUTE(SUBSTITUTE(UPPER(TRIM(A36)),"EMP",""),"-","")),"000")</f>
        <v>emp035</v>
      </c>
      <c r="C36" s="2" t="s">
        <v>140</v>
      </c>
      <c r="D36" s="8">
        <v>44499</v>
      </c>
      <c r="E36" s="8">
        <f>IF(D36="","",
 IF(ISNUMBER(D36),D36,
 IFERROR(DATEVALUE(D36),
 IFERROR(DATEVALUE(SUBSTITUTE(SUBSTITUTE(SUBSTITUTE(LOWER(D36),"th",""),".","/"),"-","/")),"Check"))))</f>
        <v>44499</v>
      </c>
      <c r="F36" s="2" t="s">
        <v>31</v>
      </c>
      <c r="G36" s="2" t="s">
        <v>19</v>
      </c>
      <c r="H36" s="2" t="s">
        <v>13</v>
      </c>
      <c r="I36" s="9" t="s">
        <v>141</v>
      </c>
      <c r="J36" s="10" t="s">
        <v>142</v>
      </c>
      <c r="K36" s="1"/>
      <c r="L36" s="54">
        <f t="shared" si="3"/>
        <v>2021</v>
      </c>
      <c r="M36" s="18" t="str">
        <f t="shared" si="4"/>
        <v>Q4</v>
      </c>
      <c r="N36" t="str">
        <f t="shared" si="5"/>
        <v>2021-Q4</v>
      </c>
    </row>
    <row r="37" spans="1:14" x14ac:dyDescent="0.3">
      <c r="A37" s="2" t="s">
        <v>143</v>
      </c>
      <c r="B37" s="17" t="str">
        <f>"emp"&amp;TEXT(VALUE(SUBSTITUTE(SUBSTITUTE(UPPER(TRIM(A37)),"EMP",""),"-","")),"000")</f>
        <v>emp036</v>
      </c>
      <c r="C37" s="2" t="s">
        <v>144</v>
      </c>
      <c r="D37" s="8">
        <v>43147</v>
      </c>
      <c r="E37" s="8">
        <f>IF(D37="","",
 IF(ISNUMBER(D37),D37,
 IFERROR(DATEVALUE(D37),
 IFERROR(DATEVALUE(SUBSTITUTE(SUBSTITUTE(SUBSTITUTE(LOWER(D37),"th",""),".","/"),"-","/")),"Check"))))</f>
        <v>43147</v>
      </c>
      <c r="F37" s="2" t="s">
        <v>24</v>
      </c>
      <c r="G37" s="2" t="s">
        <v>12</v>
      </c>
      <c r="H37" s="2" t="s">
        <v>13</v>
      </c>
      <c r="I37" s="9" t="s">
        <v>59</v>
      </c>
      <c r="J37" s="10" t="s">
        <v>145</v>
      </c>
      <c r="K37" s="10" t="s">
        <v>146</v>
      </c>
      <c r="L37" s="54">
        <f t="shared" si="3"/>
        <v>2018</v>
      </c>
      <c r="M37" s="18" t="str">
        <f t="shared" si="4"/>
        <v>Q1</v>
      </c>
      <c r="N37" t="str">
        <f t="shared" si="5"/>
        <v>2018-Q1</v>
      </c>
    </row>
    <row r="38" spans="1:14" x14ac:dyDescent="0.3">
      <c r="A38" s="2" t="s">
        <v>147</v>
      </c>
      <c r="B38" s="17" t="str">
        <f>"emp"&amp;TEXT(VALUE(SUBSTITUTE(SUBSTITUTE(UPPER(TRIM(A38)),"EMP",""),"-","")),"000")</f>
        <v>emp037</v>
      </c>
      <c r="C38" s="2" t="s">
        <v>148</v>
      </c>
      <c r="D38" s="8">
        <v>43717</v>
      </c>
      <c r="E38" s="8">
        <f>IF(D38="","",
 IF(ISNUMBER(D38),D38,
 IFERROR(DATEVALUE(D38),
 IFERROR(DATEVALUE(SUBSTITUTE(SUBSTITUTE(SUBSTITUTE(LOWER(D38),"th",""),".","/"),"-","/")),"Check"))))</f>
        <v>43717</v>
      </c>
      <c r="F38" s="2" t="s">
        <v>31</v>
      </c>
      <c r="G38" s="2" t="s">
        <v>25</v>
      </c>
      <c r="H38" s="2" t="s">
        <v>13</v>
      </c>
      <c r="I38" s="9" t="s">
        <v>111</v>
      </c>
      <c r="J38" s="10" t="s">
        <v>27</v>
      </c>
      <c r="K38" s="1"/>
      <c r="L38" s="54">
        <f t="shared" si="3"/>
        <v>2019</v>
      </c>
      <c r="M38" s="18" t="str">
        <f t="shared" si="4"/>
        <v>Q3</v>
      </c>
      <c r="N38" t="str">
        <f t="shared" si="5"/>
        <v>2019-Q3</v>
      </c>
    </row>
    <row r="39" spans="1:14" x14ac:dyDescent="0.3">
      <c r="A39" s="2" t="s">
        <v>149</v>
      </c>
      <c r="B39" s="17" t="str">
        <f>"emp"&amp;TEXT(VALUE(SUBSTITUTE(SUBSTITUTE(UPPER(TRIM(A39)),"EMP",""),"-","")),"000")</f>
        <v>emp038</v>
      </c>
      <c r="C39" s="2" t="s">
        <v>150</v>
      </c>
      <c r="D39" s="8">
        <v>44585</v>
      </c>
      <c r="E39" s="8">
        <f>IF(D39="","",
 IF(ISNUMBER(D39),D39,
 IFERROR(DATEVALUE(D39),
 IFERROR(DATEVALUE(SUBSTITUTE(SUBSTITUTE(SUBSTITUTE(LOWER(D39),"th",""),".","/"),"-","/")),"Check"))))</f>
        <v>44585</v>
      </c>
      <c r="F39" s="2" t="s">
        <v>54</v>
      </c>
      <c r="G39" s="2" t="s">
        <v>19</v>
      </c>
      <c r="H39" s="2" t="s">
        <v>55</v>
      </c>
      <c r="I39" s="9" t="s">
        <v>32</v>
      </c>
      <c r="J39" s="1"/>
      <c r="K39" s="1"/>
      <c r="L39" s="54">
        <f t="shared" si="3"/>
        <v>2022</v>
      </c>
      <c r="M39" s="18" t="str">
        <f t="shared" si="4"/>
        <v>Q1</v>
      </c>
      <c r="N39" t="str">
        <f t="shared" si="5"/>
        <v>2022-Q1</v>
      </c>
    </row>
    <row r="40" spans="1:14" x14ac:dyDescent="0.3">
      <c r="A40" s="2" t="s">
        <v>151</v>
      </c>
      <c r="B40" s="17" t="str">
        <f>"emp"&amp;TEXT(VALUE(SUBSTITUTE(SUBSTITUTE(UPPER(TRIM(A40)),"EMP",""),"-","")),"000")</f>
        <v>emp039</v>
      </c>
      <c r="C40" s="2" t="s">
        <v>152</v>
      </c>
      <c r="D40" s="8">
        <v>42311</v>
      </c>
      <c r="E40" s="8">
        <f>IF(D40="","",
 IF(ISNUMBER(D40),D40,
 IFERROR(DATEVALUE(D40),
 IFERROR(DATEVALUE(SUBSTITUTE(SUBSTITUTE(SUBSTITUTE(LOWER(D40),"th",""),".","/"),"-","/")),"Check"))))</f>
        <v>42311</v>
      </c>
      <c r="F40" s="2" t="s">
        <v>36</v>
      </c>
      <c r="G40" s="2" t="s">
        <v>12</v>
      </c>
      <c r="H40" s="2" t="s">
        <v>114</v>
      </c>
      <c r="I40" s="9" t="s">
        <v>111</v>
      </c>
      <c r="J40" s="10" t="s">
        <v>153</v>
      </c>
      <c r="K40" s="1"/>
      <c r="L40" s="54">
        <f t="shared" si="3"/>
        <v>2015</v>
      </c>
      <c r="M40" s="18" t="str">
        <f t="shared" si="4"/>
        <v>Q4</v>
      </c>
      <c r="N40" t="str">
        <f t="shared" si="5"/>
        <v>2015-Q4</v>
      </c>
    </row>
    <row r="41" spans="1:14" x14ac:dyDescent="0.3">
      <c r="A41" s="2" t="s">
        <v>154</v>
      </c>
      <c r="B41" s="17" t="str">
        <f>"emp"&amp;TEXT(VALUE(SUBSTITUTE(SUBSTITUTE(UPPER(TRIM(A41)),"EMP",""),"-","")),"000")</f>
        <v>emp040</v>
      </c>
      <c r="C41" s="2" t="s">
        <v>155</v>
      </c>
      <c r="D41" s="2" t="s">
        <v>156</v>
      </c>
      <c r="E41" s="8">
        <f>IF(D41="","",
 IF(ISNUMBER(D41),D41,
 IFERROR(DATEVALUE(D41),
 IFERROR(DATEVALUE(SUBSTITUTE(SUBSTITUTE(SUBSTITUTE(LOWER(D41),"th",""),".","/"),"-","/")),"Check"))))</f>
        <v>43908</v>
      </c>
      <c r="F41" s="2" t="s">
        <v>31</v>
      </c>
      <c r="G41" s="2" t="s">
        <v>25</v>
      </c>
      <c r="H41" s="2" t="s">
        <v>13</v>
      </c>
      <c r="I41" s="9" t="s">
        <v>92</v>
      </c>
      <c r="J41" s="10" t="s">
        <v>120</v>
      </c>
      <c r="K41" s="1"/>
      <c r="L41" s="54">
        <f t="shared" si="3"/>
        <v>2020</v>
      </c>
      <c r="M41" s="18" t="str">
        <f t="shared" si="4"/>
        <v>Q1</v>
      </c>
      <c r="N41" t="str">
        <f t="shared" si="5"/>
        <v>2020-Q1</v>
      </c>
    </row>
    <row r="42" spans="1:14" x14ac:dyDescent="0.3">
      <c r="A42" s="2" t="s">
        <v>157</v>
      </c>
      <c r="B42" s="17" t="str">
        <f>"emp"&amp;TEXT(VALUE(SUBSTITUTE(SUBSTITUTE(UPPER(TRIM(A42)),"EMP",""),"-","")),"000")</f>
        <v>emp041</v>
      </c>
      <c r="C42" s="2" t="s">
        <v>158</v>
      </c>
      <c r="D42" s="8">
        <v>44384</v>
      </c>
      <c r="E42" s="8">
        <f>IF(D42="","",
 IF(ISNUMBER(D42),D42,
 IFERROR(DATEVALUE(D42),
 IFERROR(DATEVALUE(SUBSTITUTE(SUBSTITUTE(SUBSTITUTE(LOWER(D42),"th",""),".","/"),"-","/")),"Check"))))</f>
        <v>44384</v>
      </c>
      <c r="F42" s="2" t="s">
        <v>54</v>
      </c>
      <c r="G42" s="2" t="s">
        <v>19</v>
      </c>
      <c r="H42" s="2" t="s">
        <v>55</v>
      </c>
      <c r="I42" s="9" t="s">
        <v>92</v>
      </c>
      <c r="J42" s="1"/>
      <c r="K42" s="1"/>
      <c r="L42" s="54">
        <f t="shared" si="3"/>
        <v>2021</v>
      </c>
      <c r="M42" s="18" t="str">
        <f t="shared" si="4"/>
        <v>Q3</v>
      </c>
      <c r="N42" t="str">
        <f t="shared" si="5"/>
        <v>2021-Q3</v>
      </c>
    </row>
    <row r="43" spans="1:14" x14ac:dyDescent="0.3">
      <c r="A43" s="2" t="s">
        <v>159</v>
      </c>
      <c r="B43" s="17" t="str">
        <f>"emp"&amp;TEXT(VALUE(SUBSTITUTE(SUBSTITUTE(UPPER(TRIM(A43)),"EMP",""),"-","")),"000")</f>
        <v>emp042</v>
      </c>
      <c r="C43" s="2" t="s">
        <v>160</v>
      </c>
      <c r="D43" s="8">
        <v>43814</v>
      </c>
      <c r="E43" s="8">
        <f>IF(D43="","",
 IF(ISNUMBER(D43),D43,
 IFERROR(DATEVALUE(D43),
 IFERROR(DATEVALUE(SUBSTITUTE(SUBSTITUTE(SUBSTITUTE(LOWER(D43),"th",""),".","/"),"-","/")),"Check"))))</f>
        <v>43814</v>
      </c>
      <c r="F43" s="2" t="s">
        <v>31</v>
      </c>
      <c r="G43" s="2" t="s">
        <v>12</v>
      </c>
      <c r="H43" s="2" t="s">
        <v>13</v>
      </c>
      <c r="I43" s="9" t="s">
        <v>69</v>
      </c>
      <c r="J43" s="10" t="s">
        <v>161</v>
      </c>
      <c r="K43" s="1"/>
      <c r="L43" s="54">
        <f t="shared" si="3"/>
        <v>2019</v>
      </c>
      <c r="M43" s="18" t="str">
        <f t="shared" si="4"/>
        <v>Q4</v>
      </c>
      <c r="N43" t="str">
        <f t="shared" si="5"/>
        <v>2019-Q4</v>
      </c>
    </row>
    <row r="44" spans="1:14" x14ac:dyDescent="0.3">
      <c r="A44" s="2" t="s">
        <v>162</v>
      </c>
      <c r="B44" s="17" t="str">
        <f>"emp"&amp;TEXT(VALUE(SUBSTITUTE(SUBSTITUTE(UPPER(TRIM(A44)),"EMP",""),"-","")),"000")</f>
        <v>emp043</v>
      </c>
      <c r="C44" s="2" t="s">
        <v>163</v>
      </c>
      <c r="D44" s="8">
        <v>42389</v>
      </c>
      <c r="E44" s="8">
        <f>IF(D44="","",
 IF(ISNUMBER(D44),D44,
 IFERROR(DATEVALUE(D44),
 IFERROR(DATEVALUE(SUBSTITUTE(SUBSTITUTE(SUBSTITUTE(LOWER(D44),"th",""),".","/"),"-","/")),"Check"))))</f>
        <v>42389</v>
      </c>
      <c r="F44" s="2" t="s">
        <v>24</v>
      </c>
      <c r="G44" s="2" t="s">
        <v>25</v>
      </c>
      <c r="H44" s="2" t="s">
        <v>114</v>
      </c>
      <c r="I44" s="9" t="s">
        <v>92</v>
      </c>
      <c r="J44" s="10" t="s">
        <v>164</v>
      </c>
      <c r="K44" s="1"/>
      <c r="L44" s="54">
        <f t="shared" si="3"/>
        <v>2016</v>
      </c>
      <c r="M44" s="18" t="str">
        <f t="shared" si="4"/>
        <v>Q1</v>
      </c>
      <c r="N44" t="str">
        <f t="shared" si="5"/>
        <v>2016-Q1</v>
      </c>
    </row>
    <row r="45" spans="1:14" x14ac:dyDescent="0.3">
      <c r="A45" s="2" t="s">
        <v>165</v>
      </c>
      <c r="B45" s="17" t="str">
        <f>"emp"&amp;TEXT(VALUE(SUBSTITUTE(SUBSTITUTE(UPPER(TRIM(A45)),"EMP",""),"-","")),"000")</f>
        <v>emp044</v>
      </c>
      <c r="C45" s="2" t="s">
        <v>166</v>
      </c>
      <c r="D45" s="8" t="s">
        <v>167</v>
      </c>
      <c r="E45" s="8">
        <f>IF(D45="","",
 IF(ISNUMBER(D45),D45,
 IFERROR(DATEVALUE(D45),
 IFERROR(DATEVALUE(SUBSTITUTE(SUBSTITUTE(SUBSTITUTE(LOWER(D45),"th",""),".","/"),"-","/")),"Check"))))</f>
        <v>45637</v>
      </c>
      <c r="F45" s="2" t="s">
        <v>31</v>
      </c>
      <c r="G45" s="2" t="s">
        <v>19</v>
      </c>
      <c r="H45" s="2" t="s">
        <v>13</v>
      </c>
      <c r="I45" s="9" t="s">
        <v>104</v>
      </c>
      <c r="J45" s="1"/>
      <c r="K45" s="1"/>
      <c r="L45" s="54">
        <f t="shared" si="3"/>
        <v>2024</v>
      </c>
      <c r="M45" s="18" t="str">
        <f t="shared" si="4"/>
        <v>Q4</v>
      </c>
      <c r="N45" t="str">
        <f t="shared" si="5"/>
        <v>2024-Q4</v>
      </c>
    </row>
    <row r="46" spans="1:14" x14ac:dyDescent="0.3">
      <c r="A46" s="2" t="s">
        <v>168</v>
      </c>
      <c r="B46" s="17" t="str">
        <f>"emp"&amp;TEXT(VALUE(SUBSTITUTE(SUBSTITUTE(UPPER(TRIM(A46)),"EMP",""),"-","")),"000")</f>
        <v>emp045</v>
      </c>
      <c r="C46" s="2" t="s">
        <v>169</v>
      </c>
      <c r="D46" s="8">
        <v>43226</v>
      </c>
      <c r="E46" s="8">
        <f>IF(D46="","",
 IF(ISNUMBER(D46),D46,
 IFERROR(DATEVALUE(D46),
 IFERROR(DATEVALUE(SUBSTITUTE(SUBSTITUTE(SUBSTITUTE(LOWER(D46),"th",""),".","/"),"-","/")),"Check"))))</f>
        <v>43226</v>
      </c>
      <c r="F46" s="2" t="s">
        <v>170</v>
      </c>
      <c r="G46" s="2" t="s">
        <v>12</v>
      </c>
      <c r="H46" s="2" t="s">
        <v>13</v>
      </c>
      <c r="I46" s="9" t="s">
        <v>66</v>
      </c>
      <c r="J46" s="10" t="s">
        <v>73</v>
      </c>
      <c r="K46" s="1"/>
      <c r="L46" s="54">
        <f t="shared" si="3"/>
        <v>2018</v>
      </c>
      <c r="M46" s="18" t="str">
        <f t="shared" si="4"/>
        <v>Q2</v>
      </c>
      <c r="N46" t="str">
        <f t="shared" si="5"/>
        <v>2018-Q2</v>
      </c>
    </row>
    <row r="47" spans="1:14" x14ac:dyDescent="0.3">
      <c r="A47" s="2" t="s">
        <v>171</v>
      </c>
      <c r="B47" s="17" t="str">
        <f>"emp"&amp;TEXT(VALUE(SUBSTITUTE(SUBSTITUTE(UPPER(TRIM(A47)),"EMP",""),"-","")),"000")</f>
        <v>emp046</v>
      </c>
      <c r="C47" s="2" t="s">
        <v>172</v>
      </c>
      <c r="D47" s="13">
        <v>44653</v>
      </c>
      <c r="E47" s="8">
        <f>IF(D47="","",
 IF(ISNUMBER(D47),D47,
 IFERROR(DATEVALUE(D47),
 IFERROR(DATEVALUE(SUBSTITUTE(SUBSTITUTE(SUBSTITUTE(LOWER(D47),"th",""),".","/"),"-","/")),"Check"))))</f>
        <v>44653</v>
      </c>
      <c r="F47" s="2" t="s">
        <v>54</v>
      </c>
      <c r="G47" s="2" t="s">
        <v>25</v>
      </c>
      <c r="H47" s="2" t="s">
        <v>55</v>
      </c>
      <c r="I47" s="9" t="s">
        <v>173</v>
      </c>
      <c r="J47" s="10" t="s">
        <v>63</v>
      </c>
      <c r="K47" s="1"/>
      <c r="L47" s="54">
        <f t="shared" si="3"/>
        <v>2022</v>
      </c>
      <c r="M47" s="18" t="str">
        <f t="shared" si="4"/>
        <v>Q2</v>
      </c>
      <c r="N47" t="str">
        <f t="shared" si="5"/>
        <v>2022-Q2</v>
      </c>
    </row>
    <row r="48" spans="1:14" x14ac:dyDescent="0.3">
      <c r="A48" s="2" t="s">
        <v>174</v>
      </c>
      <c r="B48" s="17" t="str">
        <f>"emp"&amp;TEXT(VALUE(SUBSTITUTE(SUBSTITUTE(UPPER(TRIM(A48)),"EMP",""),"-","")),"000")</f>
        <v>emp047</v>
      </c>
      <c r="C48" s="2" t="s">
        <v>175</v>
      </c>
      <c r="D48" s="8">
        <v>43036</v>
      </c>
      <c r="E48" s="8">
        <f>IF(D48="","",
 IF(ISNUMBER(D48),D48,
 IFERROR(DATEVALUE(D48),
 IFERROR(DATEVALUE(SUBSTITUTE(SUBSTITUTE(SUBSTITUTE(LOWER(D48),"th",""),".","/"),"-","/")),"Check"))))</f>
        <v>43036</v>
      </c>
      <c r="F48" s="2" t="s">
        <v>31</v>
      </c>
      <c r="G48" s="2" t="s">
        <v>19</v>
      </c>
      <c r="H48" s="2" t="s">
        <v>114</v>
      </c>
      <c r="I48" s="9" t="s">
        <v>176</v>
      </c>
      <c r="J48" s="10" t="s">
        <v>177</v>
      </c>
      <c r="K48" s="1"/>
      <c r="L48" s="54">
        <f t="shared" si="3"/>
        <v>2017</v>
      </c>
      <c r="M48" s="18" t="str">
        <f t="shared" si="4"/>
        <v>Q4</v>
      </c>
      <c r="N48" t="str">
        <f t="shared" si="5"/>
        <v>2017-Q4</v>
      </c>
    </row>
    <row r="49" spans="1:14" x14ac:dyDescent="0.3">
      <c r="A49" s="2" t="s">
        <v>178</v>
      </c>
      <c r="B49" s="17" t="str">
        <f>"emp"&amp;TEXT(VALUE(SUBSTITUTE(SUBSTITUTE(UPPER(TRIM(A49)),"EMP",""),"-","")),"000")</f>
        <v>emp048</v>
      </c>
      <c r="C49" s="2" t="s">
        <v>179</v>
      </c>
      <c r="D49" s="8">
        <v>43617</v>
      </c>
      <c r="E49" s="8">
        <f>IF(D49="","",
 IF(ISNUMBER(D49),D49,
 IFERROR(DATEVALUE(D49),
 IFERROR(DATEVALUE(SUBSTITUTE(SUBSTITUTE(SUBSTITUTE(LOWER(D49),"th",""),".","/"),"-","/")),"Check"))))</f>
        <v>43617</v>
      </c>
      <c r="F49" s="2" t="s">
        <v>54</v>
      </c>
      <c r="G49" s="2" t="s">
        <v>12</v>
      </c>
      <c r="H49" s="2" t="s">
        <v>13</v>
      </c>
      <c r="I49" s="9" t="s">
        <v>180</v>
      </c>
      <c r="J49" s="10" t="s">
        <v>181</v>
      </c>
      <c r="K49" s="1"/>
      <c r="L49" s="54">
        <f t="shared" si="3"/>
        <v>2019</v>
      </c>
      <c r="M49" s="18" t="str">
        <f t="shared" si="4"/>
        <v>Q2</v>
      </c>
      <c r="N49" t="str">
        <f t="shared" si="5"/>
        <v>2019-Q2</v>
      </c>
    </row>
    <row r="50" spans="1:14" x14ac:dyDescent="0.3">
      <c r="A50" s="2" t="s">
        <v>182</v>
      </c>
      <c r="B50" s="17" t="str">
        <f>"emp"&amp;TEXT(VALUE(SUBSTITUTE(SUBSTITUTE(UPPER(TRIM(A50)),"EMP",""),"-","")),"000")</f>
        <v>emp049</v>
      </c>
      <c r="C50" s="2" t="s">
        <v>183</v>
      </c>
      <c r="D50" s="8">
        <v>42049</v>
      </c>
      <c r="E50" s="8">
        <f>IF(D50="","",
 IF(ISNUMBER(D50),D50,
 IFERROR(DATEVALUE(D50),
 IFERROR(DATEVALUE(SUBSTITUTE(SUBSTITUTE(SUBSTITUTE(LOWER(D50),"th",""),".","/"),"-","/")),"Check"))))</f>
        <v>42049</v>
      </c>
      <c r="F50" s="2" t="s">
        <v>42</v>
      </c>
      <c r="G50" s="2" t="s">
        <v>25</v>
      </c>
      <c r="H50" s="2" t="s">
        <v>114</v>
      </c>
      <c r="I50" s="9" t="s">
        <v>126</v>
      </c>
      <c r="J50" s="10" t="s">
        <v>51</v>
      </c>
      <c r="K50" s="1"/>
      <c r="L50" s="54">
        <f t="shared" si="3"/>
        <v>2015</v>
      </c>
      <c r="M50" s="18" t="str">
        <f t="shared" si="4"/>
        <v>Q1</v>
      </c>
      <c r="N50" t="str">
        <f t="shared" si="5"/>
        <v>2015-Q1</v>
      </c>
    </row>
    <row r="51" spans="1:14" x14ac:dyDescent="0.3">
      <c r="A51" s="2" t="s">
        <v>184</v>
      </c>
      <c r="B51" s="17" t="str">
        <f>"emp"&amp;TEXT(VALUE(SUBSTITUTE(SUBSTITUTE(UPPER(TRIM(A51)),"EMP",""),"-","")),"000")</f>
        <v>emp050</v>
      </c>
      <c r="C51" s="2" t="s">
        <v>185</v>
      </c>
      <c r="D51" s="14" t="s">
        <v>186</v>
      </c>
      <c r="E51" s="8">
        <f>IF(D51="","",
 IF(ISNUMBER(D51),D51,
 IFERROR(DATEVALUE(D51),
 IFERROR(DATEVALUE(SUBSTITUTE(SUBSTITUTE(SUBSTITUTE(LOWER(D51),"th",""),".","/"),"-","/")),"Check"))))</f>
        <v>44935</v>
      </c>
      <c r="F51" s="2" t="s">
        <v>54</v>
      </c>
      <c r="G51" s="2" t="s">
        <v>19</v>
      </c>
      <c r="H51" s="2" t="s">
        <v>55</v>
      </c>
      <c r="I51" s="9" t="s">
        <v>123</v>
      </c>
      <c r="J51" s="1"/>
      <c r="K51" s="1"/>
      <c r="L51" s="54">
        <f t="shared" si="3"/>
        <v>2023</v>
      </c>
      <c r="M51" s="18" t="str">
        <f t="shared" si="4"/>
        <v>Q1</v>
      </c>
      <c r="N51" t="str">
        <f t="shared" si="5"/>
        <v>2023-Q1</v>
      </c>
    </row>
    <row r="52" spans="1:14" x14ac:dyDescent="0.3">
      <c r="A52" s="2" t="s">
        <v>187</v>
      </c>
      <c r="B52" s="17" t="str">
        <f>"emp"&amp;TEXT(VALUE(SUBSTITUTE(SUBSTITUTE(UPPER(TRIM(A52)),"EMP",""),"-","")),"000")</f>
        <v>emp051</v>
      </c>
      <c r="C52" s="2" t="s">
        <v>188</v>
      </c>
      <c r="D52" s="8">
        <v>43536</v>
      </c>
      <c r="E52" s="8">
        <f>IF(D52="","",
 IF(ISNUMBER(D52),D52,
 IFERROR(DATEVALUE(D52),
 IFERROR(DATEVALUE(SUBSTITUTE(SUBSTITUTE(SUBSTITUTE(LOWER(D52),"th",""),".","/"),"-","/")),"Check"))))</f>
        <v>43536</v>
      </c>
      <c r="F52" s="2" t="s">
        <v>31</v>
      </c>
      <c r="G52" s="2" t="s">
        <v>189</v>
      </c>
      <c r="H52" s="2" t="s">
        <v>13</v>
      </c>
      <c r="I52" s="9" t="s">
        <v>104</v>
      </c>
      <c r="J52" s="10" t="s">
        <v>190</v>
      </c>
      <c r="K52" s="1"/>
      <c r="L52" s="54">
        <f t="shared" si="3"/>
        <v>2019</v>
      </c>
      <c r="M52" s="18" t="str">
        <f t="shared" si="4"/>
        <v>Q1</v>
      </c>
      <c r="N52" t="str">
        <f t="shared" si="5"/>
        <v>2019-Q1</v>
      </c>
    </row>
    <row r="53" spans="1:14" x14ac:dyDescent="0.3">
      <c r="A53" s="2" t="s">
        <v>191</v>
      </c>
      <c r="B53" s="17" t="str">
        <f>"emp"&amp;TEXT(VALUE(SUBSTITUTE(SUBSTITUTE(UPPER(TRIM(A53)),"EMP",""),"-","")),"000")</f>
        <v>emp052</v>
      </c>
      <c r="C53" s="2" t="s">
        <v>192</v>
      </c>
      <c r="D53" s="8">
        <v>43933</v>
      </c>
      <c r="E53" s="8">
        <f>IF(D53="","",
 IF(ISNUMBER(D53),D53,
 IFERROR(DATEVALUE(D53),
 IFERROR(DATEVALUE(SUBSTITUTE(SUBSTITUTE(SUBSTITUTE(LOWER(D53),"th",""),".","/"),"-","/")),"Check"))))</f>
        <v>43933</v>
      </c>
      <c r="F53" s="2" t="s">
        <v>54</v>
      </c>
      <c r="G53" s="2" t="s">
        <v>193</v>
      </c>
      <c r="H53" s="2" t="s">
        <v>55</v>
      </c>
      <c r="I53" s="9" t="s">
        <v>176</v>
      </c>
      <c r="J53" s="1"/>
      <c r="K53" s="1"/>
      <c r="L53" s="54">
        <f t="shared" si="3"/>
        <v>2020</v>
      </c>
      <c r="M53" s="18" t="str">
        <f t="shared" si="4"/>
        <v>Q2</v>
      </c>
      <c r="N53" t="str">
        <f t="shared" si="5"/>
        <v>2020-Q2</v>
      </c>
    </row>
    <row r="54" spans="1:14" x14ac:dyDescent="0.3">
      <c r="A54" s="2" t="s">
        <v>194</v>
      </c>
      <c r="B54" s="17" t="str">
        <f>"emp"&amp;TEXT(VALUE(SUBSTITUTE(SUBSTITUTE(UPPER(TRIM(A54)),"EMP",""),"-","")),"000")</f>
        <v>emp053</v>
      </c>
      <c r="C54" s="2" t="s">
        <v>195</v>
      </c>
      <c r="D54" s="8">
        <v>43282</v>
      </c>
      <c r="E54" s="8">
        <f>IF(D54="","",
 IF(ISNUMBER(D54),D54,
 IFERROR(DATEVALUE(D54),
 IFERROR(DATEVALUE(SUBSTITUTE(SUBSTITUTE(SUBSTITUTE(LOWER(D54),"th",""),".","/"),"-","/")),"Check"))))</f>
        <v>43282</v>
      </c>
      <c r="F54" s="2" t="s">
        <v>36</v>
      </c>
      <c r="G54" s="2" t="s">
        <v>196</v>
      </c>
      <c r="H54" s="2" t="s">
        <v>13</v>
      </c>
      <c r="I54" s="9" t="s">
        <v>50</v>
      </c>
      <c r="J54" s="10" t="s">
        <v>197</v>
      </c>
      <c r="K54" s="1"/>
      <c r="L54" s="54">
        <f t="shared" si="3"/>
        <v>2018</v>
      </c>
      <c r="M54" s="18" t="str">
        <f t="shared" si="4"/>
        <v>Q3</v>
      </c>
      <c r="N54" t="str">
        <f t="shared" si="5"/>
        <v>2018-Q3</v>
      </c>
    </row>
    <row r="55" spans="1:14" x14ac:dyDescent="0.3">
      <c r="A55" s="2" t="s">
        <v>198</v>
      </c>
      <c r="B55" s="17" t="str">
        <f>"emp"&amp;TEXT(VALUE(SUBSTITUTE(SUBSTITUTE(UPPER(TRIM(A55)),"EMP",""),"-","")),"000")</f>
        <v>emp054</v>
      </c>
      <c r="C55" s="2" t="s">
        <v>199</v>
      </c>
      <c r="D55" s="8">
        <v>44440</v>
      </c>
      <c r="E55" s="8">
        <f>IF(D55="","",
 IF(ISNUMBER(D55),D55,
 IFERROR(DATEVALUE(D55),
 IFERROR(DATEVALUE(SUBSTITUTE(SUBSTITUTE(SUBSTITUTE(LOWER(D55),"th",""),".","/"),"-","/")),"Check"))))</f>
        <v>44440</v>
      </c>
      <c r="F55" s="2" t="s">
        <v>31</v>
      </c>
      <c r="G55" s="2" t="s">
        <v>189</v>
      </c>
      <c r="H55" s="2" t="s">
        <v>13</v>
      </c>
      <c r="I55" s="9" t="s">
        <v>72</v>
      </c>
      <c r="J55" s="10" t="s">
        <v>200</v>
      </c>
      <c r="K55" s="1"/>
      <c r="L55" s="54">
        <f t="shared" si="3"/>
        <v>2021</v>
      </c>
      <c r="M55" s="18" t="str">
        <f t="shared" si="4"/>
        <v>Q3</v>
      </c>
      <c r="N55" t="str">
        <f t="shared" si="5"/>
        <v>2021-Q3</v>
      </c>
    </row>
    <row r="56" spans="1:14" x14ac:dyDescent="0.3">
      <c r="A56" s="2" t="s">
        <v>201</v>
      </c>
      <c r="B56" s="17" t="str">
        <f>"emp"&amp;TEXT(VALUE(SUBSTITUTE(SUBSTITUTE(UPPER(TRIM(A56)),"EMP",""),"-","")),"000")</f>
        <v>emp055</v>
      </c>
      <c r="C56" s="2" t="s">
        <v>202</v>
      </c>
      <c r="D56" s="8">
        <v>43054</v>
      </c>
      <c r="E56" s="8">
        <f>IF(D56="","",
 IF(ISNUMBER(D56),D56,
 IFERROR(DATEVALUE(D56),
 IFERROR(DATEVALUE(SUBSTITUTE(SUBSTITUTE(SUBSTITUTE(LOWER(D56),"th",""),".","/"),"-","/")),"Check"))))</f>
        <v>43054</v>
      </c>
      <c r="F56" s="2" t="s">
        <v>24</v>
      </c>
      <c r="G56" s="2" t="s">
        <v>203</v>
      </c>
      <c r="H56" s="2" t="s">
        <v>13</v>
      </c>
      <c r="I56" s="9" t="s">
        <v>204</v>
      </c>
      <c r="J56" s="10" t="s">
        <v>205</v>
      </c>
      <c r="K56" s="1"/>
      <c r="L56" s="54">
        <f t="shared" si="3"/>
        <v>2017</v>
      </c>
      <c r="M56" s="18" t="str">
        <f t="shared" si="4"/>
        <v>Q4</v>
      </c>
      <c r="N56" t="str">
        <f t="shared" si="5"/>
        <v>2017-Q4</v>
      </c>
    </row>
    <row r="57" spans="1:14" x14ac:dyDescent="0.3">
      <c r="A57" s="2" t="s">
        <v>206</v>
      </c>
      <c r="B57" s="17" t="str">
        <f>"emp"&amp;TEXT(VALUE(SUBSTITUTE(SUBSTITUTE(UPPER(TRIM(A57)),"EMP",""),"-","")),"000")</f>
        <v>emp056</v>
      </c>
      <c r="C57" s="2" t="s">
        <v>207</v>
      </c>
      <c r="D57" s="8">
        <v>42420</v>
      </c>
      <c r="E57" s="8">
        <f>IF(D57="","",
 IF(ISNUMBER(D57),D57,
 IFERROR(DATEVALUE(D57),
 IFERROR(DATEVALUE(SUBSTITUTE(SUBSTITUTE(SUBSTITUTE(LOWER(D57),"th",""),".","/"),"-","/")),"Check"))))</f>
        <v>42420</v>
      </c>
      <c r="F57" s="2" t="s">
        <v>31</v>
      </c>
      <c r="G57" s="2" t="s">
        <v>208</v>
      </c>
      <c r="H57" s="2" t="s">
        <v>13</v>
      </c>
      <c r="I57" s="9" t="s">
        <v>209</v>
      </c>
      <c r="J57" s="10" t="s">
        <v>27</v>
      </c>
      <c r="K57" s="1"/>
      <c r="L57" s="54">
        <f t="shared" si="3"/>
        <v>2016</v>
      </c>
      <c r="M57" s="18" t="str">
        <f t="shared" si="4"/>
        <v>Q1</v>
      </c>
      <c r="N57" t="str">
        <f t="shared" si="5"/>
        <v>2016-Q1</v>
      </c>
    </row>
    <row r="58" spans="1:14" x14ac:dyDescent="0.3">
      <c r="A58" s="2" t="s">
        <v>210</v>
      </c>
      <c r="B58" s="17" t="str">
        <f>"emp"&amp;TEXT(VALUE(SUBSTITUTE(SUBSTITUTE(UPPER(TRIM(A58)),"EMP",""),"-","")),"000")</f>
        <v>emp057</v>
      </c>
      <c r="C58" s="2" t="s">
        <v>211</v>
      </c>
      <c r="D58" s="2" t="s">
        <v>212</v>
      </c>
      <c r="E58" s="8">
        <f>IF(D58="","",
 IF(ISNUMBER(D58),D58,
 IFERROR(DATEVALUE(D58),
 IFERROR(DATEVALUE(SUBSTITUTE(SUBSTITUTE(SUBSTITUTE(LOWER(D58),"th",""),".","/"),"-","/")),"Check"))))</f>
        <v>43594</v>
      </c>
      <c r="F58" s="2" t="s">
        <v>54</v>
      </c>
      <c r="G58" s="2" t="s">
        <v>193</v>
      </c>
      <c r="H58" s="2" t="s">
        <v>13</v>
      </c>
      <c r="I58" s="9" t="s">
        <v>176</v>
      </c>
      <c r="J58" s="10" t="s">
        <v>94</v>
      </c>
      <c r="K58" s="1"/>
      <c r="L58" s="54">
        <f t="shared" si="3"/>
        <v>2019</v>
      </c>
      <c r="M58" s="18" t="str">
        <f t="shared" si="4"/>
        <v>Q2</v>
      </c>
      <c r="N58" t="str">
        <f t="shared" si="5"/>
        <v>2019-Q2</v>
      </c>
    </row>
    <row r="59" spans="1:14" x14ac:dyDescent="0.3">
      <c r="A59" s="2" t="s">
        <v>213</v>
      </c>
      <c r="B59" s="17" t="str">
        <f>"emp"&amp;TEXT(VALUE(SUBSTITUTE(SUBSTITUTE(UPPER(TRIM(A59)),"EMP",""),"-","")),"000")</f>
        <v>emp058</v>
      </c>
      <c r="C59" s="2" t="s">
        <v>214</v>
      </c>
      <c r="D59" s="8">
        <v>44060</v>
      </c>
      <c r="E59" s="8">
        <f>IF(D59="","",
 IF(ISNUMBER(D59),D59,
 IFERROR(DATEVALUE(D59),
 IFERROR(DATEVALUE(SUBSTITUTE(SUBSTITUTE(SUBSTITUTE(LOWER(D59),"th",""),".","/"),"-","/")),"Check"))))</f>
        <v>44060</v>
      </c>
      <c r="F59" s="2" t="s">
        <v>31</v>
      </c>
      <c r="G59" s="2" t="s">
        <v>189</v>
      </c>
      <c r="H59" s="2" t="s">
        <v>13</v>
      </c>
      <c r="I59" s="9" t="s">
        <v>84</v>
      </c>
      <c r="J59" s="10" t="s">
        <v>215</v>
      </c>
      <c r="K59" s="1"/>
      <c r="L59" s="54">
        <f t="shared" si="3"/>
        <v>2020</v>
      </c>
      <c r="M59" s="18" t="str">
        <f t="shared" si="4"/>
        <v>Q3</v>
      </c>
      <c r="N59" t="str">
        <f t="shared" si="5"/>
        <v>2020-Q3</v>
      </c>
    </row>
    <row r="60" spans="1:14" x14ac:dyDescent="0.3">
      <c r="A60" s="2" t="s">
        <v>216</v>
      </c>
      <c r="B60" s="17" t="str">
        <f>"emp"&amp;TEXT(VALUE(SUBSTITUTE(SUBSTITUTE(UPPER(TRIM(A60)),"EMP",""),"-","")),"000")</f>
        <v>emp059</v>
      </c>
      <c r="C60" s="2" t="s">
        <v>217</v>
      </c>
      <c r="D60" s="8">
        <v>43125</v>
      </c>
      <c r="E60" s="8">
        <f>IF(D60="","",
 IF(ISNUMBER(D60),D60,
 IFERROR(DATEVALUE(D60),
 IFERROR(DATEVALUE(SUBSTITUTE(SUBSTITUTE(SUBSTITUTE(LOWER(D60),"th",""),".","/"),"-","/")),"Check"))))</f>
        <v>43125</v>
      </c>
      <c r="F60" s="2" t="s">
        <v>170</v>
      </c>
      <c r="G60" s="2" t="s">
        <v>196</v>
      </c>
      <c r="H60" s="2" t="s">
        <v>13</v>
      </c>
      <c r="I60" s="9" t="s">
        <v>180</v>
      </c>
      <c r="J60" s="10" t="s">
        <v>215</v>
      </c>
      <c r="K60" s="10" t="s">
        <v>218</v>
      </c>
      <c r="L60" s="54">
        <f t="shared" si="3"/>
        <v>2018</v>
      </c>
      <c r="M60" s="18" t="str">
        <f t="shared" si="4"/>
        <v>Q1</v>
      </c>
      <c r="N60" t="str">
        <f t="shared" si="5"/>
        <v>2018-Q1</v>
      </c>
    </row>
    <row r="61" spans="1:14" x14ac:dyDescent="0.3">
      <c r="A61" s="2" t="s">
        <v>219</v>
      </c>
      <c r="B61" s="17" t="str">
        <f>"emp"&amp;TEXT(VALUE(SUBSTITUTE(SUBSTITUTE(UPPER(TRIM(A61)),"EMP",""),"-","")),"000")</f>
        <v>emp060</v>
      </c>
      <c r="C61" s="2" t="s">
        <v>220</v>
      </c>
      <c r="D61" s="8">
        <v>44361</v>
      </c>
      <c r="E61" s="8">
        <f>IF(D61="","",
 IF(ISNUMBER(D61),D61,
 IFERROR(DATEVALUE(D61),
 IFERROR(DATEVALUE(SUBSTITUTE(SUBSTITUTE(SUBSTITUTE(LOWER(D61),"th",""),".","/"),"-","/")),"Check"))))</f>
        <v>44361</v>
      </c>
      <c r="F61" s="2" t="s">
        <v>54</v>
      </c>
      <c r="G61" s="2" t="s">
        <v>193</v>
      </c>
      <c r="H61" s="2" t="s">
        <v>13</v>
      </c>
      <c r="I61" s="9" t="s">
        <v>221</v>
      </c>
      <c r="J61" s="10" t="s">
        <v>132</v>
      </c>
      <c r="K61" s="1"/>
      <c r="L61" s="54">
        <f t="shared" si="3"/>
        <v>2021</v>
      </c>
      <c r="M61" s="18" t="str">
        <f t="shared" si="4"/>
        <v>Q2</v>
      </c>
      <c r="N61" t="str">
        <f t="shared" si="5"/>
        <v>2021-Q2</v>
      </c>
    </row>
    <row r="62" spans="1:14" x14ac:dyDescent="0.3">
      <c r="A62" s="2" t="s">
        <v>222</v>
      </c>
      <c r="B62" s="17" t="str">
        <f>"emp"&amp;TEXT(VALUE(SUBSTITUTE(SUBSTITUTE(UPPER(TRIM(A62)),"EMP",""),"-","")),"000")</f>
        <v>emp061</v>
      </c>
      <c r="C62" s="2" t="s">
        <v>223</v>
      </c>
      <c r="D62" s="8">
        <v>42981</v>
      </c>
      <c r="E62" s="8">
        <f>IF(D62="","",
 IF(ISNUMBER(D62),D62,
 IFERROR(DATEVALUE(D62),
 IFERROR(DATEVALUE(SUBSTITUTE(SUBSTITUTE(SUBSTITUTE(LOWER(D62),"th",""),".","/"),"-","/")),"Check"))))</f>
        <v>42981</v>
      </c>
      <c r="F62" s="2" t="s">
        <v>31</v>
      </c>
      <c r="G62" s="2" t="s">
        <v>203</v>
      </c>
      <c r="H62" s="2" t="s">
        <v>13</v>
      </c>
      <c r="I62" s="9" t="s">
        <v>224</v>
      </c>
      <c r="J62" s="10" t="s">
        <v>101</v>
      </c>
      <c r="K62" s="1"/>
      <c r="L62" s="54">
        <f t="shared" si="3"/>
        <v>2017</v>
      </c>
      <c r="M62" s="18" t="str">
        <f t="shared" si="4"/>
        <v>Q3</v>
      </c>
      <c r="N62" t="str">
        <f t="shared" si="5"/>
        <v>2017-Q3</v>
      </c>
    </row>
    <row r="63" spans="1:14" x14ac:dyDescent="0.3">
      <c r="A63" s="2" t="s">
        <v>225</v>
      </c>
      <c r="B63" s="17" t="str">
        <f>"emp"&amp;TEXT(VALUE(SUBSTITUTE(SUBSTITUTE(UPPER(TRIM(A63)),"EMP",""),"-","")),"000")</f>
        <v>emp062</v>
      </c>
      <c r="C63" s="2" t="s">
        <v>226</v>
      </c>
      <c r="D63" s="8">
        <v>43810</v>
      </c>
      <c r="E63" s="8">
        <f>IF(D63="","",
 IF(ISNUMBER(D63),D63,
 IFERROR(DATEVALUE(D63),
 IFERROR(DATEVALUE(SUBSTITUTE(SUBSTITUTE(SUBSTITUTE(LOWER(D63),"th",""),".","/"),"-","/")),"Check"))))</f>
        <v>43810</v>
      </c>
      <c r="F63" s="2" t="s">
        <v>31</v>
      </c>
      <c r="G63" s="2" t="s">
        <v>208</v>
      </c>
      <c r="H63" s="2" t="s">
        <v>13</v>
      </c>
      <c r="I63" s="9" t="s">
        <v>227</v>
      </c>
      <c r="J63" s="10" t="s">
        <v>78</v>
      </c>
      <c r="K63" s="1"/>
      <c r="L63" s="54">
        <f t="shared" si="3"/>
        <v>2019</v>
      </c>
      <c r="M63" s="18" t="str">
        <f t="shared" si="4"/>
        <v>Q4</v>
      </c>
      <c r="N63" t="str">
        <f t="shared" si="5"/>
        <v>2019-Q4</v>
      </c>
    </row>
    <row r="64" spans="1:14" x14ac:dyDescent="0.3">
      <c r="A64" s="2" t="s">
        <v>228</v>
      </c>
      <c r="B64" s="17" t="str">
        <f>"emp"&amp;TEXT(VALUE(SUBSTITUTE(SUBSTITUTE(UPPER(TRIM(A64)),"EMP",""),"-","")),"000")</f>
        <v>emp063</v>
      </c>
      <c r="C64" s="2" t="s">
        <v>229</v>
      </c>
      <c r="D64" s="8">
        <v>42479</v>
      </c>
      <c r="E64" s="8">
        <f>IF(D64="","",
 IF(ISNUMBER(D64),D64,
 IFERROR(DATEVALUE(D64),
 IFERROR(DATEVALUE(SUBSTITUTE(SUBSTITUTE(SUBSTITUTE(LOWER(D64),"th",""),".","/"),"-","/")),"Check"))))</f>
        <v>42479</v>
      </c>
      <c r="F64" s="2" t="s">
        <v>24</v>
      </c>
      <c r="G64" s="2" t="s">
        <v>189</v>
      </c>
      <c r="H64" s="2" t="s">
        <v>13</v>
      </c>
      <c r="I64" s="9" t="s">
        <v>230</v>
      </c>
      <c r="J64" s="10" t="s">
        <v>205</v>
      </c>
      <c r="K64" s="10" t="s">
        <v>200</v>
      </c>
      <c r="L64" s="54">
        <f t="shared" si="3"/>
        <v>2016</v>
      </c>
      <c r="M64" s="18" t="str">
        <f t="shared" si="4"/>
        <v>Q2</v>
      </c>
      <c r="N64" t="str">
        <f t="shared" si="5"/>
        <v>2016-Q2</v>
      </c>
    </row>
    <row r="65" spans="1:14" x14ac:dyDescent="0.3">
      <c r="A65" s="2" t="s">
        <v>231</v>
      </c>
      <c r="B65" s="17" t="str">
        <f>"emp"&amp;TEXT(VALUE(SUBSTITUTE(SUBSTITUTE(UPPER(TRIM(A65)),"EMP",""),"-","")),"000")</f>
        <v>emp064</v>
      </c>
      <c r="C65" s="2" t="s">
        <v>232</v>
      </c>
      <c r="D65" s="8">
        <v>44599</v>
      </c>
      <c r="E65" s="8">
        <f>IF(D65="","",
 IF(ISNUMBER(D65),D65,
 IFERROR(DATEVALUE(D65),
 IFERROR(DATEVALUE(SUBSTITUTE(SUBSTITUTE(SUBSTITUTE(LOWER(D65),"th",""),".","/"),"-","/")),"Check"))))</f>
        <v>44599</v>
      </c>
      <c r="F65" s="2" t="s">
        <v>54</v>
      </c>
      <c r="G65" s="2" t="s">
        <v>193</v>
      </c>
      <c r="H65" s="2" t="s">
        <v>55</v>
      </c>
      <c r="I65" s="9" t="s">
        <v>43</v>
      </c>
      <c r="J65" s="1"/>
      <c r="K65" s="1"/>
      <c r="L65" s="54">
        <f t="shared" si="3"/>
        <v>2022</v>
      </c>
      <c r="M65" s="18" t="str">
        <f t="shared" si="4"/>
        <v>Q1</v>
      </c>
      <c r="N65" t="str">
        <f t="shared" si="5"/>
        <v>2022-Q1</v>
      </c>
    </row>
    <row r="66" spans="1:14" x14ac:dyDescent="0.3">
      <c r="A66" s="2" t="s">
        <v>233</v>
      </c>
      <c r="B66" s="17" t="str">
        <f>"emp"&amp;TEXT(VALUE(SUBSTITUTE(SUBSTITUTE(UPPER(TRIM(A66)),"EMP",""),"-","")),"000")</f>
        <v>emp065</v>
      </c>
      <c r="C66" s="2" t="s">
        <v>234</v>
      </c>
      <c r="D66" s="2" t="s">
        <v>235</v>
      </c>
      <c r="E66" s="8">
        <f>IF(D66="","",
 IF(ISNUMBER(D66),D66,
 IFERROR(DATEVALUE(D66),
 IFERROR(DATEVALUE(SUBSTITUTE(SUBSTITUTE(SUBSTITUTE(LOWER(D66),"th",""),".","/"),"-","/")),"Check"))))</f>
        <v>43395</v>
      </c>
      <c r="F66" s="2" t="s">
        <v>31</v>
      </c>
      <c r="G66" s="2" t="s">
        <v>196</v>
      </c>
      <c r="H66" s="2" t="s">
        <v>13</v>
      </c>
      <c r="I66" s="9" t="s">
        <v>204</v>
      </c>
      <c r="J66" s="10" t="s">
        <v>236</v>
      </c>
      <c r="K66" s="1"/>
      <c r="L66" s="54">
        <f t="shared" ref="L66:L97" si="6">IF(E66="","Missing",YEAR(E66))</f>
        <v>2018</v>
      </c>
      <c r="M66" s="18" t="str">
        <f t="shared" ref="M66:M97" si="7">IF(E66="","Missing","Q"&amp;ROUNDUP(MONTH(E66)/3,0))</f>
        <v>Q4</v>
      </c>
      <c r="N66" t="str">
        <f t="shared" ref="N66:N97" si="8">YEAR(E66)&amp;"-Q"&amp;ROUNDUP(MONTH(E66)/3,0)</f>
        <v>2018-Q4</v>
      </c>
    </row>
    <row r="67" spans="1:14" x14ac:dyDescent="0.3">
      <c r="A67" s="2" t="s">
        <v>237</v>
      </c>
      <c r="B67" s="17" t="str">
        <f>"emp"&amp;TEXT(VALUE(SUBSTITUTE(SUBSTITUTE(UPPER(TRIM(A67)),"EMP",""),"-","")),"000")</f>
        <v>emp066</v>
      </c>
      <c r="C67" s="2" t="s">
        <v>238</v>
      </c>
      <c r="D67" s="8">
        <v>43860</v>
      </c>
      <c r="E67" s="8">
        <f>IF(D67="","",
 IF(ISNUMBER(D67),D67,
 IFERROR(DATEVALUE(D67),
 IFERROR(DATEVALUE(SUBSTITUTE(SUBSTITUTE(SUBSTITUTE(LOWER(D67),"th",""),".","/"),"-","/")),"Check"))))</f>
        <v>43860</v>
      </c>
      <c r="F67" s="2" t="s">
        <v>170</v>
      </c>
      <c r="G67" s="2" t="s">
        <v>203</v>
      </c>
      <c r="H67" s="2" t="s">
        <v>13</v>
      </c>
      <c r="I67" s="9" t="s">
        <v>14</v>
      </c>
      <c r="J67" s="10" t="s">
        <v>239</v>
      </c>
      <c r="K67" s="10" t="s">
        <v>197</v>
      </c>
      <c r="L67" s="54">
        <f t="shared" si="6"/>
        <v>2020</v>
      </c>
      <c r="M67" s="18" t="str">
        <f t="shared" si="7"/>
        <v>Q1</v>
      </c>
      <c r="N67" t="str">
        <f t="shared" si="8"/>
        <v>2020-Q1</v>
      </c>
    </row>
    <row r="68" spans="1:14" x14ac:dyDescent="0.3">
      <c r="A68" s="2" t="s">
        <v>240</v>
      </c>
      <c r="B68" s="17" t="str">
        <f>"emp"&amp;TEXT(VALUE(SUBSTITUTE(SUBSTITUTE(UPPER(TRIM(A68)),"EMP",""),"-","")),"000")</f>
        <v>emp067</v>
      </c>
      <c r="C68" s="2" t="s">
        <v>241</v>
      </c>
      <c r="D68" s="8">
        <v>43621</v>
      </c>
      <c r="E68" s="8">
        <f>IF(D68="","",
 IF(ISNUMBER(D68),D68,
 IFERROR(DATEVALUE(D68),
 IFERROR(DATEVALUE(SUBSTITUTE(SUBSTITUTE(SUBSTITUTE(LOWER(D68),"th",""),".","/"),"-","/")),"Check"))))</f>
        <v>43621</v>
      </c>
      <c r="F68" s="2" t="s">
        <v>31</v>
      </c>
      <c r="G68" s="2" t="s">
        <v>208</v>
      </c>
      <c r="H68" s="2" t="s">
        <v>13</v>
      </c>
      <c r="I68" s="9" t="s">
        <v>173</v>
      </c>
      <c r="J68" s="1"/>
      <c r="K68" s="1"/>
      <c r="L68" s="54">
        <f t="shared" si="6"/>
        <v>2019</v>
      </c>
      <c r="M68" s="18" t="str">
        <f t="shared" si="7"/>
        <v>Q2</v>
      </c>
      <c r="N68" t="str">
        <f t="shared" si="8"/>
        <v>2019-Q2</v>
      </c>
    </row>
    <row r="69" spans="1:14" x14ac:dyDescent="0.3">
      <c r="A69" s="2" t="s">
        <v>242</v>
      </c>
      <c r="B69" s="17" t="str">
        <f>"emp"&amp;TEXT(VALUE(SUBSTITUTE(SUBSTITUTE(UPPER(TRIM(A69)),"EMP",""),"-","")),"000")</f>
        <v>emp068</v>
      </c>
      <c r="C69" s="2" t="s">
        <v>243</v>
      </c>
      <c r="D69" s="8">
        <v>44273</v>
      </c>
      <c r="E69" s="8">
        <f>IF(D69="","",
 IF(ISNUMBER(D69),D69,
 IFERROR(DATEVALUE(D69),
 IFERROR(DATEVALUE(SUBSTITUTE(SUBSTITUTE(SUBSTITUTE(LOWER(D69),"th",""),".","/"),"-","/")),"Check"))))</f>
        <v>44273</v>
      </c>
      <c r="F69" s="2" t="s">
        <v>54</v>
      </c>
      <c r="G69" s="2" t="s">
        <v>189</v>
      </c>
      <c r="H69" s="2" t="s">
        <v>55</v>
      </c>
      <c r="I69" s="9" t="s">
        <v>69</v>
      </c>
      <c r="J69" s="1"/>
      <c r="K69" s="1"/>
      <c r="L69" s="54">
        <f t="shared" si="6"/>
        <v>2021</v>
      </c>
      <c r="M69" s="18" t="str">
        <f t="shared" si="7"/>
        <v>Q1</v>
      </c>
      <c r="N69" t="str">
        <f t="shared" si="8"/>
        <v>2021-Q1</v>
      </c>
    </row>
    <row r="70" spans="1:14" x14ac:dyDescent="0.3">
      <c r="A70" s="2" t="s">
        <v>244</v>
      </c>
      <c r="B70" s="17" t="str">
        <f>"emp"&amp;TEXT(VALUE(SUBSTITUTE(SUBSTITUTE(UPPER(TRIM(A70)),"EMP",""),"-","")),"000")</f>
        <v>emp069</v>
      </c>
      <c r="C70" s="2" t="s">
        <v>245</v>
      </c>
      <c r="D70" s="8">
        <v>42943</v>
      </c>
      <c r="E70" s="8">
        <f>IF(D70="","",
 IF(ISNUMBER(D70),D70,
 IFERROR(DATEVALUE(D70),
 IFERROR(DATEVALUE(SUBSTITUTE(SUBSTITUTE(SUBSTITUTE(LOWER(D70),"th",""),".","/"),"-","/")),"Check"))))</f>
        <v>42943</v>
      </c>
      <c r="F70" s="2" t="s">
        <v>31</v>
      </c>
      <c r="G70" s="2" t="s">
        <v>193</v>
      </c>
      <c r="H70" s="2" t="s">
        <v>13</v>
      </c>
      <c r="I70" s="9" t="s">
        <v>84</v>
      </c>
      <c r="J70" s="10" t="s">
        <v>33</v>
      </c>
      <c r="K70" s="1"/>
      <c r="L70" s="54">
        <f t="shared" si="6"/>
        <v>2017</v>
      </c>
      <c r="M70" s="18" t="str">
        <f t="shared" si="7"/>
        <v>Q3</v>
      </c>
      <c r="N70" t="str">
        <f t="shared" si="8"/>
        <v>2017-Q3</v>
      </c>
    </row>
    <row r="71" spans="1:14" x14ac:dyDescent="0.3">
      <c r="A71" s="2" t="s">
        <v>246</v>
      </c>
      <c r="B71" s="17" t="str">
        <f>"emp"&amp;TEXT(VALUE(SUBSTITUTE(SUBSTITUTE(UPPER(TRIM(A71)),"EMP",""),"-","")),"000")</f>
        <v>emp070</v>
      </c>
      <c r="C71" s="2" t="s">
        <v>247</v>
      </c>
      <c r="D71" s="8">
        <v>44692</v>
      </c>
      <c r="E71" s="8">
        <f>IF(D71="","",
 IF(ISNUMBER(D71),D71,
 IFERROR(DATEVALUE(D71),
 IFERROR(DATEVALUE(SUBSTITUTE(SUBSTITUTE(SUBSTITUTE(LOWER(D71),"th",""),".","/"),"-","/")),"Check"))))</f>
        <v>44692</v>
      </c>
      <c r="F71" s="2" t="s">
        <v>54</v>
      </c>
      <c r="G71" s="2" t="s">
        <v>196</v>
      </c>
      <c r="H71" s="2" t="s">
        <v>55</v>
      </c>
      <c r="I71" s="9" t="s">
        <v>248</v>
      </c>
      <c r="J71" s="1"/>
      <c r="K71" s="1"/>
      <c r="L71" s="54">
        <f t="shared" si="6"/>
        <v>2022</v>
      </c>
      <c r="M71" s="18" t="str">
        <f t="shared" si="7"/>
        <v>Q2</v>
      </c>
      <c r="N71" t="str">
        <f t="shared" si="8"/>
        <v>2022-Q2</v>
      </c>
    </row>
    <row r="72" spans="1:14" x14ac:dyDescent="0.3">
      <c r="A72" s="2" t="s">
        <v>249</v>
      </c>
      <c r="B72" s="17" t="str">
        <f>"emp"&amp;TEXT(VALUE(SUBSTITUTE(SUBSTITUTE(UPPER(TRIM(A72)),"EMP",""),"-","")),"000")</f>
        <v>emp071</v>
      </c>
      <c r="C72" s="2" t="s">
        <v>250</v>
      </c>
      <c r="D72" s="8">
        <v>42627</v>
      </c>
      <c r="E72" s="8">
        <f>IF(D72="","",
 IF(ISNUMBER(D72),D72,
 IFERROR(DATEVALUE(D72),
 IFERROR(DATEVALUE(SUBSTITUTE(SUBSTITUTE(SUBSTITUTE(LOWER(D72),"th",""),".","/"),"-","/")),"Check"))))</f>
        <v>42627</v>
      </c>
      <c r="F72" s="2" t="s">
        <v>24</v>
      </c>
      <c r="G72" s="2" t="s">
        <v>203</v>
      </c>
      <c r="H72" s="2" t="s">
        <v>13</v>
      </c>
      <c r="I72" s="9" t="s">
        <v>251</v>
      </c>
      <c r="J72" s="10" t="s">
        <v>145</v>
      </c>
      <c r="K72" s="1"/>
      <c r="L72" s="54">
        <f t="shared" si="6"/>
        <v>2016</v>
      </c>
      <c r="M72" s="18" t="str">
        <f t="shared" si="7"/>
        <v>Q3</v>
      </c>
      <c r="N72" t="str">
        <f t="shared" si="8"/>
        <v>2016-Q3</v>
      </c>
    </row>
    <row r="73" spans="1:14" x14ac:dyDescent="0.3">
      <c r="A73" s="2" t="s">
        <v>252</v>
      </c>
      <c r="B73" s="17" t="str">
        <f>"emp"&amp;TEXT(VALUE(SUBSTITUTE(SUBSTITUTE(UPPER(TRIM(A73)),"EMP",""),"-","")),"000")</f>
        <v>emp072</v>
      </c>
      <c r="C73" s="2" t="s">
        <v>253</v>
      </c>
      <c r="D73" s="8">
        <v>43437</v>
      </c>
      <c r="E73" s="8">
        <f>IF(D73="","",
 IF(ISNUMBER(D73),D73,
 IFERROR(DATEVALUE(D73),
 IFERROR(DATEVALUE(SUBSTITUTE(SUBSTITUTE(SUBSTITUTE(LOWER(D73),"th",""),".","/"),"-","/")),"Check"))))</f>
        <v>43437</v>
      </c>
      <c r="F73" s="2" t="s">
        <v>31</v>
      </c>
      <c r="G73" s="2" t="s">
        <v>189</v>
      </c>
      <c r="H73" s="2" t="s">
        <v>13</v>
      </c>
      <c r="I73" s="9" t="s">
        <v>230</v>
      </c>
      <c r="J73" s="10" t="s">
        <v>254</v>
      </c>
      <c r="K73" s="1"/>
      <c r="L73" s="54">
        <f t="shared" si="6"/>
        <v>2018</v>
      </c>
      <c r="M73" s="18" t="str">
        <f t="shared" si="7"/>
        <v>Q4</v>
      </c>
      <c r="N73" t="str">
        <f t="shared" si="8"/>
        <v>2018-Q4</v>
      </c>
    </row>
    <row r="74" spans="1:14" x14ac:dyDescent="0.3">
      <c r="A74" s="2" t="s">
        <v>255</v>
      </c>
      <c r="B74" s="17" t="str">
        <f>"emp"&amp;TEXT(VALUE(SUBSTITUTE(SUBSTITUTE(UPPER(TRIM(A74)),"EMP",""),"-","")),"000")</f>
        <v>emp073</v>
      </c>
      <c r="C74" s="2" t="s">
        <v>256</v>
      </c>
      <c r="D74" s="8">
        <v>43581</v>
      </c>
      <c r="E74" s="8">
        <f>IF(D74="","",
 IF(ISNUMBER(D74),D74,
 IFERROR(DATEVALUE(D74),
 IFERROR(DATEVALUE(SUBSTITUTE(SUBSTITUTE(SUBSTITUTE(LOWER(D74),"th",""),".","/"),"-","/")),"Check"))))</f>
        <v>43581</v>
      </c>
      <c r="F74" s="2" t="s">
        <v>170</v>
      </c>
      <c r="G74" s="2" t="s">
        <v>193</v>
      </c>
      <c r="H74" s="2" t="s">
        <v>13</v>
      </c>
      <c r="I74" s="9" t="s">
        <v>257</v>
      </c>
      <c r="J74" s="10" t="s">
        <v>105</v>
      </c>
      <c r="K74" s="10" t="s">
        <v>146</v>
      </c>
      <c r="L74" s="54">
        <f t="shared" si="6"/>
        <v>2019</v>
      </c>
      <c r="M74" s="18" t="str">
        <f t="shared" si="7"/>
        <v>Q2</v>
      </c>
      <c r="N74" t="str">
        <f t="shared" si="8"/>
        <v>2019-Q2</v>
      </c>
    </row>
    <row r="75" spans="1:14" x14ac:dyDescent="0.3">
      <c r="A75" s="2" t="s">
        <v>258</v>
      </c>
      <c r="B75" s="17" t="str">
        <f>"emp"&amp;TEXT(VALUE(SUBSTITUTE(SUBSTITUTE(UPPER(TRIM(A75)),"EMP",""),"-","")),"000")</f>
        <v>emp074</v>
      </c>
      <c r="C75" s="2" t="s">
        <v>259</v>
      </c>
      <c r="D75" s="8">
        <v>44385</v>
      </c>
      <c r="E75" s="8">
        <f>IF(D75="","",
 IF(ISNUMBER(D75),D75,
 IFERROR(DATEVALUE(D75),
 IFERROR(DATEVALUE(SUBSTITUTE(SUBSTITUTE(SUBSTITUTE(LOWER(D75),"th",""),".","/"),"-","/")),"Check"))))</f>
        <v>44385</v>
      </c>
      <c r="F75" s="2" t="s">
        <v>54</v>
      </c>
      <c r="G75" s="2" t="s">
        <v>208</v>
      </c>
      <c r="H75" s="2" t="s">
        <v>13</v>
      </c>
      <c r="I75" s="9" t="s">
        <v>260</v>
      </c>
      <c r="J75" s="10" t="s">
        <v>164</v>
      </c>
      <c r="K75" s="1"/>
      <c r="L75" s="54">
        <f t="shared" si="6"/>
        <v>2021</v>
      </c>
      <c r="M75" s="18" t="str">
        <f t="shared" si="7"/>
        <v>Q3</v>
      </c>
      <c r="N75" t="str">
        <f t="shared" si="8"/>
        <v>2021-Q3</v>
      </c>
    </row>
    <row r="76" spans="1:14" x14ac:dyDescent="0.3">
      <c r="A76" s="2" t="s">
        <v>261</v>
      </c>
      <c r="B76" s="17" t="str">
        <f>"emp"&amp;TEXT(VALUE(SUBSTITUTE(SUBSTITUTE(UPPER(TRIM(A76)),"EMP",""),"-","")),"000")</f>
        <v>emp075</v>
      </c>
      <c r="C76" s="2" t="s">
        <v>262</v>
      </c>
      <c r="D76" s="2" t="s">
        <v>263</v>
      </c>
      <c r="E76" s="8">
        <f>IF(D76="","",
 IF(ISNUMBER(D76),D76,
 IFERROR(DATEVALUE(D76),
 IFERROR(DATEVALUE(SUBSTITUTE(SUBSTITUTE(SUBSTITUTE(LOWER(D76),"th",""),".","/"),"-","/")),"Check"))))</f>
        <v>42782</v>
      </c>
      <c r="F76" s="2" t="s">
        <v>31</v>
      </c>
      <c r="G76" s="2" t="s">
        <v>196</v>
      </c>
      <c r="H76" s="2" t="s">
        <v>13</v>
      </c>
      <c r="I76" s="9" t="s">
        <v>264</v>
      </c>
      <c r="J76" s="10" t="s">
        <v>265</v>
      </c>
      <c r="K76" s="1"/>
      <c r="L76" s="54">
        <f t="shared" si="6"/>
        <v>2017</v>
      </c>
      <c r="M76" s="18" t="str">
        <f t="shared" si="7"/>
        <v>Q1</v>
      </c>
      <c r="N76" t="str">
        <f t="shared" si="8"/>
        <v>2017-Q1</v>
      </c>
    </row>
    <row r="77" spans="1:14" x14ac:dyDescent="0.3">
      <c r="A77" s="2" t="s">
        <v>266</v>
      </c>
      <c r="B77" s="17" t="str">
        <f>"emp"&amp;TEXT(VALUE(SUBSTITUTE(SUBSTITUTE(UPPER(TRIM(A77)),"EMP",""),"-","")),"000")</f>
        <v>emp076</v>
      </c>
      <c r="C77" s="2" t="s">
        <v>267</v>
      </c>
      <c r="D77" s="8">
        <v>44133</v>
      </c>
      <c r="E77" s="8">
        <f>IF(D77="","",
 IF(ISNUMBER(D77),D77,
 IFERROR(DATEVALUE(D77),
 IFERROR(DATEVALUE(SUBSTITUTE(SUBSTITUTE(SUBSTITUTE(LOWER(D77),"th",""),".","/"),"-","/")),"Check"))))</f>
        <v>44133</v>
      </c>
      <c r="F77" s="2" t="s">
        <v>31</v>
      </c>
      <c r="G77" s="2" t="s">
        <v>189</v>
      </c>
      <c r="H77" s="2" t="s">
        <v>13</v>
      </c>
      <c r="I77" s="9" t="s">
        <v>111</v>
      </c>
      <c r="J77" s="1"/>
      <c r="K77" s="1"/>
      <c r="L77" s="54">
        <f t="shared" si="6"/>
        <v>2020</v>
      </c>
      <c r="M77" s="18" t="str">
        <f t="shared" si="7"/>
        <v>Q4</v>
      </c>
      <c r="N77" t="str">
        <f t="shared" si="8"/>
        <v>2020-Q4</v>
      </c>
    </row>
    <row r="78" spans="1:14" x14ac:dyDescent="0.3">
      <c r="A78" s="2" t="s">
        <v>268</v>
      </c>
      <c r="B78" s="17" t="str">
        <f>"emp"&amp;TEXT(VALUE(SUBSTITUTE(SUBSTITUTE(UPPER(TRIM(A78)),"EMP",""),"-","")),"000")</f>
        <v>emp077</v>
      </c>
      <c r="C78" s="2" t="s">
        <v>269</v>
      </c>
      <c r="D78" s="8">
        <v>43113</v>
      </c>
      <c r="E78" s="8">
        <f>IF(D78="","",
 IF(ISNUMBER(D78),D78,
 IFERROR(DATEVALUE(D78),
 IFERROR(DATEVALUE(SUBSTITUTE(SUBSTITUTE(SUBSTITUTE(LOWER(D78),"th",""),".","/"),"-","/")),"Check"))))</f>
        <v>43113</v>
      </c>
      <c r="F78" s="2" t="s">
        <v>170</v>
      </c>
      <c r="G78" s="2" t="s">
        <v>203</v>
      </c>
      <c r="H78" s="2" t="s">
        <v>13</v>
      </c>
      <c r="I78" s="9" t="s">
        <v>32</v>
      </c>
      <c r="J78" s="1"/>
      <c r="K78" s="1"/>
      <c r="L78" s="54">
        <f t="shared" si="6"/>
        <v>2018</v>
      </c>
      <c r="M78" s="18" t="str">
        <f t="shared" si="7"/>
        <v>Q1</v>
      </c>
      <c r="N78" t="str">
        <f t="shared" si="8"/>
        <v>2018-Q1</v>
      </c>
    </row>
    <row r="79" spans="1:14" x14ac:dyDescent="0.3">
      <c r="A79" s="2" t="s">
        <v>270</v>
      </c>
      <c r="B79" s="17" t="str">
        <f>"emp"&amp;TEXT(VALUE(SUBSTITUTE(SUBSTITUTE(UPPER(TRIM(A79)),"EMP",""),"-","")),"000")</f>
        <v>emp078</v>
      </c>
      <c r="C79" s="2" t="s">
        <v>271</v>
      </c>
      <c r="D79" s="8">
        <v>44733</v>
      </c>
      <c r="E79" s="8">
        <f>IF(D79="","",
 IF(ISNUMBER(D79),D79,
 IFERROR(DATEVALUE(D79),
 IFERROR(DATEVALUE(SUBSTITUTE(SUBSTITUTE(SUBSTITUTE(LOWER(D79),"th",""),".","/"),"-","/")),"Check"))))</f>
        <v>44733</v>
      </c>
      <c r="F79" s="2" t="s">
        <v>54</v>
      </c>
      <c r="G79" s="2" t="s">
        <v>193</v>
      </c>
      <c r="H79" s="2" t="s">
        <v>55</v>
      </c>
      <c r="I79" s="9" t="s">
        <v>221</v>
      </c>
      <c r="J79" s="1"/>
      <c r="K79" s="1"/>
      <c r="L79" s="54">
        <f t="shared" si="6"/>
        <v>2022</v>
      </c>
      <c r="M79" s="18" t="str">
        <f t="shared" si="7"/>
        <v>Q2</v>
      </c>
      <c r="N79" t="str">
        <f t="shared" si="8"/>
        <v>2022-Q2</v>
      </c>
    </row>
    <row r="80" spans="1:14" x14ac:dyDescent="0.3">
      <c r="A80" s="2" t="s">
        <v>272</v>
      </c>
      <c r="B80" s="17" t="str">
        <f>"emp"&amp;TEXT(VALUE(SUBSTITUTE(SUBSTITUTE(UPPER(TRIM(A80)),"EMP",""),"-","")),"000")</f>
        <v>emp079</v>
      </c>
      <c r="C80" s="2" t="s">
        <v>273</v>
      </c>
      <c r="D80" s="8">
        <v>42494</v>
      </c>
      <c r="E80" s="8">
        <f>IF(D80="","",
 IF(ISNUMBER(D80),D80,
 IFERROR(DATEVALUE(D80),
 IFERROR(DATEVALUE(SUBSTITUTE(SUBSTITUTE(SUBSTITUTE(LOWER(D80),"th",""),".","/"),"-","/")),"Check"))))</f>
        <v>42494</v>
      </c>
      <c r="F80" s="2" t="s">
        <v>24</v>
      </c>
      <c r="G80" s="2" t="s">
        <v>208</v>
      </c>
      <c r="H80" s="2" t="s">
        <v>13</v>
      </c>
      <c r="I80" s="9" t="s">
        <v>274</v>
      </c>
      <c r="J80" s="10" t="s">
        <v>275</v>
      </c>
      <c r="K80" s="1"/>
      <c r="L80" s="54">
        <f t="shared" si="6"/>
        <v>2016</v>
      </c>
      <c r="M80" s="18" t="str">
        <f t="shared" si="7"/>
        <v>Q2</v>
      </c>
      <c r="N80" t="str">
        <f t="shared" si="8"/>
        <v>2016-Q2</v>
      </c>
    </row>
    <row r="81" spans="1:14" x14ac:dyDescent="0.3">
      <c r="A81" s="2" t="s">
        <v>276</v>
      </c>
      <c r="B81" s="17" t="str">
        <f>"emp"&amp;TEXT(VALUE(SUBSTITUTE(SUBSTITUTE(UPPER(TRIM(A81)),"EMP",""),"-","")),"000")</f>
        <v>emp080</v>
      </c>
      <c r="C81" s="2" t="s">
        <v>277</v>
      </c>
      <c r="D81" s="8">
        <v>43788</v>
      </c>
      <c r="E81" s="8">
        <f>IF(D81="","",
 IF(ISNUMBER(D81),D81,
 IFERROR(DATEVALUE(D81),
 IFERROR(DATEVALUE(SUBSTITUTE(SUBSTITUTE(SUBSTITUTE(LOWER(D81),"th",""),".","/"),"-","/")),"Check"))))</f>
        <v>43788</v>
      </c>
      <c r="F81" s="2" t="s">
        <v>31</v>
      </c>
      <c r="G81" s="2" t="s">
        <v>189</v>
      </c>
      <c r="H81" s="2" t="s">
        <v>13</v>
      </c>
      <c r="I81" s="9" t="s">
        <v>87</v>
      </c>
      <c r="J81" s="10" t="s">
        <v>278</v>
      </c>
      <c r="K81" s="1"/>
      <c r="L81" s="54">
        <f t="shared" si="6"/>
        <v>2019</v>
      </c>
      <c r="M81" s="18" t="str">
        <f t="shared" si="7"/>
        <v>Q4</v>
      </c>
      <c r="N81" t="str">
        <f t="shared" si="8"/>
        <v>2019-Q4</v>
      </c>
    </row>
    <row r="82" spans="1:14" x14ac:dyDescent="0.3">
      <c r="A82" s="2" t="s">
        <v>279</v>
      </c>
      <c r="B82" s="17" t="str">
        <f>"emp"&amp;TEXT(VALUE(SUBSTITUTE(SUBSTITUTE(UPPER(TRIM(A82)),"EMP",""),"-","")),"000")</f>
        <v>emp081</v>
      </c>
      <c r="C82" s="2" t="s">
        <v>280</v>
      </c>
      <c r="D82" s="8">
        <v>42801</v>
      </c>
      <c r="E82" s="8">
        <f>IF(D82="","",
 IF(ISNUMBER(D82),D82,
 IFERROR(DATEVALUE(D82),
 IFERROR(DATEVALUE(SUBSTITUTE(SUBSTITUTE(SUBSTITUTE(LOWER(D82),"th",""),".","/"),"-","/")),"Check"))))</f>
        <v>42801</v>
      </c>
      <c r="F82" s="2" t="s">
        <v>31</v>
      </c>
      <c r="G82" s="2" t="s">
        <v>203</v>
      </c>
      <c r="H82" s="2" t="s">
        <v>55</v>
      </c>
      <c r="I82" s="9" t="s">
        <v>281</v>
      </c>
      <c r="J82" s="10" t="s">
        <v>275</v>
      </c>
      <c r="K82" s="1"/>
      <c r="L82" s="54">
        <f t="shared" si="6"/>
        <v>2017</v>
      </c>
      <c r="M82" s="18" t="str">
        <f t="shared" si="7"/>
        <v>Q1</v>
      </c>
      <c r="N82" t="str">
        <f t="shared" si="8"/>
        <v>2017-Q1</v>
      </c>
    </row>
    <row r="83" spans="1:14" x14ac:dyDescent="0.3">
      <c r="A83" s="2" t="s">
        <v>282</v>
      </c>
      <c r="B83" s="17" t="str">
        <f>"emp"&amp;TEXT(VALUE(SUBSTITUTE(SUBSTITUTE(UPPER(TRIM(A83)),"EMP",""),"-","")),"000")</f>
        <v>emp115</v>
      </c>
      <c r="C83" s="2" t="s">
        <v>283</v>
      </c>
      <c r="D83" s="13">
        <v>43788</v>
      </c>
      <c r="E83" s="8">
        <f>IF(D83="","",
 IF(ISNUMBER(D83),D83,
 IFERROR(DATEVALUE(D83),
 IFERROR(DATEVALUE(SUBSTITUTE(SUBSTITUTE(SUBSTITUTE(LOWER(D83),"th",""),".","/"),"-","/")),"Check"))))</f>
        <v>43788</v>
      </c>
      <c r="F83" s="2" t="s">
        <v>31</v>
      </c>
      <c r="G83" s="2" t="s">
        <v>203</v>
      </c>
      <c r="H83" s="2" t="s">
        <v>13</v>
      </c>
      <c r="I83" s="9" t="s">
        <v>284</v>
      </c>
      <c r="J83" s="1"/>
      <c r="K83" s="1"/>
      <c r="L83" s="54">
        <f t="shared" si="6"/>
        <v>2019</v>
      </c>
      <c r="M83" s="18" t="str">
        <f t="shared" si="7"/>
        <v>Q4</v>
      </c>
      <c r="N83" t="str">
        <f t="shared" si="8"/>
        <v>2019-Q4</v>
      </c>
    </row>
    <row r="84" spans="1:14" x14ac:dyDescent="0.3">
      <c r="A84" s="2" t="s">
        <v>285</v>
      </c>
      <c r="B84" s="17" t="str">
        <f>"emp"&amp;TEXT(VALUE(SUBSTITUTE(SUBSTITUTE(UPPER(TRIM(A84)),"EMP",""),"-","")),"000")</f>
        <v>emp082</v>
      </c>
      <c r="C84" s="2" t="s">
        <v>286</v>
      </c>
      <c r="D84" s="2" t="s">
        <v>287</v>
      </c>
      <c r="E84" s="8">
        <f>IF(D84="","",
 IF(ISNUMBER(D84),D84,
 IFERROR(DATEVALUE(D84),
 IFERROR(DATEVALUE(SUBSTITUTE(SUBSTITUTE(SUBSTITUTE(LOWER(D84),"th",""),".","/"),"-","/")),"Check"))))</f>
        <v>44076</v>
      </c>
      <c r="F84" s="2" t="s">
        <v>54</v>
      </c>
      <c r="G84" s="2" t="s">
        <v>193</v>
      </c>
      <c r="H84" s="2" t="s">
        <v>55</v>
      </c>
      <c r="I84" s="9" t="s">
        <v>84</v>
      </c>
      <c r="J84" s="1"/>
      <c r="K84" s="1"/>
      <c r="L84" s="54">
        <f t="shared" si="6"/>
        <v>2020</v>
      </c>
      <c r="M84" s="18" t="str">
        <f t="shared" si="7"/>
        <v>Q3</v>
      </c>
      <c r="N84" t="str">
        <f t="shared" si="8"/>
        <v>2020-Q3</v>
      </c>
    </row>
    <row r="85" spans="1:14" x14ac:dyDescent="0.3">
      <c r="A85" s="2" t="s">
        <v>288</v>
      </c>
      <c r="B85" s="17" t="str">
        <f>"emp"&amp;TEXT(VALUE(SUBSTITUTE(SUBSTITUTE(UPPER(TRIM(A85)),"EMP",""),"-","")),"000")</f>
        <v>emp083</v>
      </c>
      <c r="C85" s="2" t="s">
        <v>289</v>
      </c>
      <c r="D85" s="8">
        <v>43340</v>
      </c>
      <c r="E85" s="8">
        <f>IF(D85="","",
 IF(ISNUMBER(D85),D85,
 IFERROR(DATEVALUE(D85),
 IFERROR(DATEVALUE(SUBSTITUTE(SUBSTITUTE(SUBSTITUTE(LOWER(D85),"th",""),".","/"),"-","/")),"Check"))))</f>
        <v>43340</v>
      </c>
      <c r="F85" s="2" t="s">
        <v>31</v>
      </c>
      <c r="G85" s="2" t="s">
        <v>196</v>
      </c>
      <c r="H85" s="2" t="s">
        <v>13</v>
      </c>
      <c r="I85" s="9" t="s">
        <v>72</v>
      </c>
      <c r="J85" s="1"/>
      <c r="K85" s="1"/>
      <c r="L85" s="54">
        <f t="shared" si="6"/>
        <v>2018</v>
      </c>
      <c r="M85" s="18" t="str">
        <f t="shared" si="7"/>
        <v>Q3</v>
      </c>
      <c r="N85" t="str">
        <f t="shared" si="8"/>
        <v>2018-Q3</v>
      </c>
    </row>
    <row r="86" spans="1:14" x14ac:dyDescent="0.3">
      <c r="A86" s="2" t="s">
        <v>290</v>
      </c>
      <c r="B86" s="17" t="str">
        <f>"emp"&amp;TEXT(VALUE(SUBSTITUTE(SUBSTITUTE(UPPER(TRIM(A86)),"EMP",""),"-","")),"000")</f>
        <v>emp084</v>
      </c>
      <c r="C86" s="2" t="s">
        <v>291</v>
      </c>
      <c r="D86" s="8">
        <v>44212</v>
      </c>
      <c r="E86" s="8">
        <f>IF(D86="","",
 IF(ISNUMBER(D86),D86,
 IFERROR(DATEVALUE(D86),
 IFERROR(DATEVALUE(SUBSTITUTE(SUBSTITUTE(SUBSTITUTE(LOWER(D86),"th",""),".","/"),"-","/")),"Check"))))</f>
        <v>44212</v>
      </c>
      <c r="F86" s="2" t="s">
        <v>54</v>
      </c>
      <c r="G86" s="2" t="s">
        <v>208</v>
      </c>
      <c r="H86" s="2" t="s">
        <v>13</v>
      </c>
      <c r="I86" s="9" t="s">
        <v>292</v>
      </c>
      <c r="J86" s="1"/>
      <c r="K86" s="1"/>
      <c r="L86" s="54">
        <f t="shared" si="6"/>
        <v>2021</v>
      </c>
      <c r="M86" s="18" t="str">
        <f t="shared" si="7"/>
        <v>Q1</v>
      </c>
      <c r="N86" t="str">
        <f t="shared" si="8"/>
        <v>2021-Q1</v>
      </c>
    </row>
    <row r="87" spans="1:14" x14ac:dyDescent="0.3">
      <c r="A87" s="2" t="s">
        <v>293</v>
      </c>
      <c r="B87" s="17" t="str">
        <f>"emp"&amp;TEXT(VALUE(SUBSTITUTE(SUBSTITUTE(UPPER(TRIM(A87)),"EMP",""),"-","")),"000")</f>
        <v>emp085</v>
      </c>
      <c r="C87" s="2" t="s">
        <v>294</v>
      </c>
      <c r="D87" s="8">
        <v>42713</v>
      </c>
      <c r="E87" s="8">
        <f>IF(D87="","",
 IF(ISNUMBER(D87),D87,
 IFERROR(DATEVALUE(D87),
 IFERROR(DATEVALUE(SUBSTITUTE(SUBSTITUTE(SUBSTITUTE(LOWER(D87),"th",""),".","/"),"-","/")),"Check"))))</f>
        <v>42713</v>
      </c>
      <c r="F87" s="2" t="s">
        <v>170</v>
      </c>
      <c r="G87" s="2" t="s">
        <v>189</v>
      </c>
      <c r="H87" s="2" t="s">
        <v>13</v>
      </c>
      <c r="I87" s="9" t="s">
        <v>260</v>
      </c>
      <c r="J87" s="10" t="s">
        <v>254</v>
      </c>
      <c r="K87" s="10" t="s">
        <v>181</v>
      </c>
      <c r="L87" s="54">
        <f t="shared" si="6"/>
        <v>2016</v>
      </c>
      <c r="M87" s="18" t="str">
        <f t="shared" si="7"/>
        <v>Q4</v>
      </c>
      <c r="N87" t="str">
        <f t="shared" si="8"/>
        <v>2016-Q4</v>
      </c>
    </row>
    <row r="88" spans="1:14" x14ac:dyDescent="0.3">
      <c r="A88" s="2" t="s">
        <v>295</v>
      </c>
      <c r="B88" s="17" t="str">
        <f>"emp"&amp;TEXT(VALUE(SUBSTITUTE(SUBSTITUTE(UPPER(TRIM(A88)),"EMP",""),"-","")),"000")</f>
        <v>emp086</v>
      </c>
      <c r="C88" s="2" t="s">
        <v>296</v>
      </c>
      <c r="D88" s="8">
        <v>43616</v>
      </c>
      <c r="E88" s="8">
        <f>IF(D88="","",
 IF(ISNUMBER(D88),D88,
 IFERROR(DATEVALUE(D88),
 IFERROR(DATEVALUE(SUBSTITUTE(SUBSTITUTE(SUBSTITUTE(LOWER(D88),"th",""),".","/"),"-","/")),"Check"))))</f>
        <v>43616</v>
      </c>
      <c r="F88" s="2" t="s">
        <v>31</v>
      </c>
      <c r="G88" s="2" t="s">
        <v>193</v>
      </c>
      <c r="H88" s="2" t="s">
        <v>13</v>
      </c>
      <c r="I88" s="9" t="s">
        <v>123</v>
      </c>
      <c r="J88" s="10" t="s">
        <v>177</v>
      </c>
      <c r="K88" s="1"/>
      <c r="L88" s="54">
        <f t="shared" si="6"/>
        <v>2019</v>
      </c>
      <c r="M88" s="18" t="str">
        <f t="shared" si="7"/>
        <v>Q2</v>
      </c>
      <c r="N88" t="str">
        <f t="shared" si="8"/>
        <v>2019-Q2</v>
      </c>
    </row>
    <row r="89" spans="1:14" x14ac:dyDescent="0.3">
      <c r="A89" s="2" t="s">
        <v>297</v>
      </c>
      <c r="B89" s="17" t="str">
        <f>"emp"&amp;TEXT(VALUE(SUBSTITUTE(SUBSTITUTE(UPPER(TRIM(A89)),"EMP",""),"-","")),"000")</f>
        <v>emp087</v>
      </c>
      <c r="C89" s="2" t="s">
        <v>298</v>
      </c>
      <c r="D89" s="8">
        <v>42909</v>
      </c>
      <c r="E89" s="8">
        <f>IF(D89="","",
 IF(ISNUMBER(D89),D89,
 IFERROR(DATEVALUE(D89),
 IFERROR(DATEVALUE(SUBSTITUTE(SUBSTITUTE(SUBSTITUTE(LOWER(D89),"th",""),".","/"),"-","/")),"Check"))))</f>
        <v>42909</v>
      </c>
      <c r="F89" s="2" t="s">
        <v>24</v>
      </c>
      <c r="G89" s="2" t="s">
        <v>203</v>
      </c>
      <c r="H89" s="2" t="s">
        <v>13</v>
      </c>
      <c r="I89" s="9" t="s">
        <v>209</v>
      </c>
      <c r="J89" s="1"/>
      <c r="K89" s="1"/>
      <c r="L89" s="54">
        <f t="shared" si="6"/>
        <v>2017</v>
      </c>
      <c r="M89" s="18" t="str">
        <f t="shared" si="7"/>
        <v>Q2</v>
      </c>
      <c r="N89" t="str">
        <f t="shared" si="8"/>
        <v>2017-Q2</v>
      </c>
    </row>
    <row r="90" spans="1:14" x14ac:dyDescent="0.3">
      <c r="A90" s="2" t="s">
        <v>299</v>
      </c>
      <c r="B90" s="17" t="str">
        <f>"emp"&amp;TEXT(VALUE(SUBSTITUTE(SUBSTITUTE(UPPER(TRIM(A90)),"EMP",""),"-","")),"000")</f>
        <v>emp088</v>
      </c>
      <c r="C90" s="2" t="s">
        <v>300</v>
      </c>
      <c r="D90" s="8">
        <v>44624</v>
      </c>
      <c r="E90" s="8">
        <f>IF(D90="","",
 IF(ISNUMBER(D90),D90,
 IFERROR(DATEVALUE(D90),
 IFERROR(DATEVALUE(SUBSTITUTE(SUBSTITUTE(SUBSTITUTE(LOWER(D90),"th",""),".","/"),"-","/")),"Check"))))</f>
        <v>44624</v>
      </c>
      <c r="F90" s="2" t="s">
        <v>54</v>
      </c>
      <c r="G90" s="2" t="s">
        <v>196</v>
      </c>
      <c r="H90" s="2" t="s">
        <v>55</v>
      </c>
      <c r="I90" s="9" t="s">
        <v>301</v>
      </c>
      <c r="J90" s="1"/>
      <c r="K90" s="1"/>
      <c r="L90" s="54">
        <f t="shared" si="6"/>
        <v>2022</v>
      </c>
      <c r="M90" s="18" t="str">
        <f t="shared" si="7"/>
        <v>Q1</v>
      </c>
      <c r="N90" t="str">
        <f t="shared" si="8"/>
        <v>2022-Q1</v>
      </c>
    </row>
    <row r="91" spans="1:14" x14ac:dyDescent="0.3">
      <c r="A91" s="2" t="s">
        <v>302</v>
      </c>
      <c r="B91" s="17" t="str">
        <f>"emp"&amp;TEXT(VALUE(SUBSTITUTE(SUBSTITUTE(UPPER(TRIM(A91)),"EMP",""),"-","")),"000")</f>
        <v>emp089</v>
      </c>
      <c r="C91" s="2" t="s">
        <v>303</v>
      </c>
      <c r="D91" s="8">
        <v>43390</v>
      </c>
      <c r="E91" s="8">
        <f>IF(D91="","",
 IF(ISNUMBER(D91),D91,
 IFERROR(DATEVALUE(D91),
 IFERROR(DATEVALUE(SUBSTITUTE(SUBSTITUTE(SUBSTITUTE(LOWER(D91),"th",""),".","/"),"-","/")),"Check"))))</f>
        <v>43390</v>
      </c>
      <c r="F91" s="2" t="s">
        <v>31</v>
      </c>
      <c r="G91" s="2" t="s">
        <v>208</v>
      </c>
      <c r="H91" s="2" t="s">
        <v>13</v>
      </c>
      <c r="I91" s="9" t="s">
        <v>284</v>
      </c>
      <c r="J91" s="1"/>
      <c r="K91" s="1"/>
      <c r="L91" s="54">
        <f t="shared" si="6"/>
        <v>2018</v>
      </c>
      <c r="M91" s="18" t="str">
        <f t="shared" si="7"/>
        <v>Q4</v>
      </c>
      <c r="N91" t="str">
        <f t="shared" si="8"/>
        <v>2018-Q4</v>
      </c>
    </row>
    <row r="92" spans="1:14" x14ac:dyDescent="0.3">
      <c r="A92" s="2" t="s">
        <v>304</v>
      </c>
      <c r="B92" s="17" t="str">
        <f>"emp"&amp;TEXT(VALUE(SUBSTITUTE(SUBSTITUTE(UPPER(TRIM(A92)),"EMP",""),"-","")),"000")</f>
        <v>emp090</v>
      </c>
      <c r="C92" s="2" t="s">
        <v>305</v>
      </c>
      <c r="D92" s="8">
        <v>44024</v>
      </c>
      <c r="E92" s="8">
        <f>IF(D92="","",
 IF(ISNUMBER(D92),D92,
 IFERROR(DATEVALUE(D92),
 IFERROR(DATEVALUE(SUBSTITUTE(SUBSTITUTE(SUBSTITUTE(LOWER(D92),"th",""),".","/"),"-","/")),"Check"))))</f>
        <v>44024</v>
      </c>
      <c r="F92" s="2" t="s">
        <v>54</v>
      </c>
      <c r="G92" s="2" t="s">
        <v>193</v>
      </c>
      <c r="H92" s="2" t="s">
        <v>13</v>
      </c>
      <c r="I92" s="9" t="s">
        <v>20</v>
      </c>
      <c r="J92" s="1"/>
      <c r="K92" s="1"/>
      <c r="L92" s="54">
        <f t="shared" si="6"/>
        <v>2020</v>
      </c>
      <c r="M92" s="18" t="str">
        <f t="shared" si="7"/>
        <v>Q3</v>
      </c>
      <c r="N92" t="str">
        <f t="shared" si="8"/>
        <v>2020-Q3</v>
      </c>
    </row>
    <row r="93" spans="1:14" x14ac:dyDescent="0.3">
      <c r="A93" s="2" t="s">
        <v>306</v>
      </c>
      <c r="B93" s="17" t="str">
        <f>"emp"&amp;TEXT(VALUE(SUBSTITUTE(SUBSTITUTE(UPPER(TRIM(A93)),"EMP",""),"-","")),"000")</f>
        <v>emp091</v>
      </c>
      <c r="C93" s="2" t="s">
        <v>307</v>
      </c>
      <c r="D93" s="2" t="s">
        <v>308</v>
      </c>
      <c r="E93" s="8">
        <f>IF(D93="","",
 IF(ISNUMBER(D93),D93,
 IFERROR(DATEVALUE(D93),
 IFERROR(DATEVALUE(SUBSTITUTE(SUBSTITUTE(SUBSTITUTE(LOWER(D93),"th",""),".","/"),"-","/")),"Check"))))</f>
        <v>42461</v>
      </c>
      <c r="F93" s="2" t="s">
        <v>31</v>
      </c>
      <c r="G93" s="2" t="s">
        <v>189</v>
      </c>
      <c r="H93" s="2" t="s">
        <v>55</v>
      </c>
      <c r="I93" s="9" t="s">
        <v>37</v>
      </c>
      <c r="J93" s="1"/>
      <c r="K93" s="1"/>
      <c r="L93" s="54">
        <f t="shared" si="6"/>
        <v>2016</v>
      </c>
      <c r="M93" s="18" t="str">
        <f t="shared" si="7"/>
        <v>Q2</v>
      </c>
      <c r="N93" t="str">
        <f t="shared" si="8"/>
        <v>2016-Q2</v>
      </c>
    </row>
    <row r="94" spans="1:14" x14ac:dyDescent="0.3">
      <c r="A94" s="2" t="s">
        <v>309</v>
      </c>
      <c r="B94" s="17" t="str">
        <f>"emp"&amp;TEXT(VALUE(SUBSTITUTE(SUBSTITUTE(UPPER(TRIM(A94)),"EMP",""),"-","")),"000")</f>
        <v>emp092</v>
      </c>
      <c r="C94" s="2" t="s">
        <v>310</v>
      </c>
      <c r="D94" s="8">
        <v>43510</v>
      </c>
      <c r="E94" s="8">
        <f>IF(D94="","",
 IF(ISNUMBER(D94),D94,
 IFERROR(DATEVALUE(D94),
 IFERROR(DATEVALUE(SUBSTITUTE(SUBSTITUTE(SUBSTITUTE(LOWER(D94),"th",""),".","/"),"-","/")),"Check"))))</f>
        <v>43510</v>
      </c>
      <c r="F94" s="2" t="s">
        <v>31</v>
      </c>
      <c r="G94" s="2" t="s">
        <v>203</v>
      </c>
      <c r="H94" s="2" t="s">
        <v>13</v>
      </c>
      <c r="I94" s="9" t="s">
        <v>257</v>
      </c>
      <c r="J94" s="10" t="s">
        <v>197</v>
      </c>
      <c r="K94" s="1"/>
      <c r="L94" s="54">
        <f t="shared" si="6"/>
        <v>2019</v>
      </c>
      <c r="M94" s="18" t="str">
        <f t="shared" si="7"/>
        <v>Q1</v>
      </c>
      <c r="N94" t="str">
        <f t="shared" si="8"/>
        <v>2019-Q1</v>
      </c>
    </row>
    <row r="95" spans="1:14" x14ac:dyDescent="0.3">
      <c r="A95" s="2" t="s">
        <v>311</v>
      </c>
      <c r="B95" s="17" t="str">
        <f>"emp"&amp;TEXT(VALUE(SUBSTITUTE(SUBSTITUTE(UPPER(TRIM(A95)),"EMP",""),"-","")),"000")</f>
        <v>emp093</v>
      </c>
      <c r="C95" s="2" t="s">
        <v>312</v>
      </c>
      <c r="D95" s="8">
        <v>42973</v>
      </c>
      <c r="E95" s="8">
        <f>IF(D95="","",
 IF(ISNUMBER(D95),D95,
 IFERROR(DATEVALUE(D95),
 IFERROR(DATEVALUE(SUBSTITUTE(SUBSTITUTE(SUBSTITUTE(LOWER(D95),"th",""),".","/"),"-","/")),"Check"))))</f>
        <v>42973</v>
      </c>
      <c r="F95" s="2" t="s">
        <v>170</v>
      </c>
      <c r="G95" s="2" t="s">
        <v>196</v>
      </c>
      <c r="H95" s="2" t="s">
        <v>13</v>
      </c>
      <c r="I95" s="9" t="s">
        <v>230</v>
      </c>
      <c r="J95" s="10" t="s">
        <v>239</v>
      </c>
      <c r="K95" s="1"/>
      <c r="L95" s="54">
        <f t="shared" si="6"/>
        <v>2017</v>
      </c>
      <c r="M95" s="18" t="str">
        <f t="shared" si="7"/>
        <v>Q3</v>
      </c>
      <c r="N95" t="str">
        <f t="shared" si="8"/>
        <v>2017-Q3</v>
      </c>
    </row>
    <row r="96" spans="1:14" x14ac:dyDescent="0.3">
      <c r="A96" s="2" t="s">
        <v>313</v>
      </c>
      <c r="B96" s="17" t="str">
        <f>"emp"&amp;TEXT(VALUE(SUBSTITUTE(SUBSTITUTE(UPPER(TRIM(A96)),"EMP",""),"-","")),"000")</f>
        <v>emp094</v>
      </c>
      <c r="C96" s="2" t="s">
        <v>314</v>
      </c>
      <c r="D96" s="8">
        <v>44506</v>
      </c>
      <c r="E96" s="8">
        <f>IF(D96="","",
 IF(ISNUMBER(D96),D96,
 IFERROR(DATEVALUE(D96),
 IFERROR(DATEVALUE(SUBSTITUTE(SUBSTITUTE(SUBSTITUTE(LOWER(D96),"th",""),".","/"),"-","/")),"Check"))))</f>
        <v>44506</v>
      </c>
      <c r="F96" s="2" t="s">
        <v>54</v>
      </c>
      <c r="G96" s="2" t="s">
        <v>208</v>
      </c>
      <c r="H96" s="2" t="s">
        <v>13</v>
      </c>
      <c r="I96" s="9" t="s">
        <v>227</v>
      </c>
      <c r="J96" s="10" t="s">
        <v>315</v>
      </c>
      <c r="K96" s="1"/>
      <c r="L96" s="54">
        <f t="shared" si="6"/>
        <v>2021</v>
      </c>
      <c r="M96" s="18" t="str">
        <f t="shared" si="7"/>
        <v>Q4</v>
      </c>
      <c r="N96" t="str">
        <f t="shared" si="8"/>
        <v>2021-Q4</v>
      </c>
    </row>
    <row r="97" spans="1:14" x14ac:dyDescent="0.3">
      <c r="A97" s="2" t="s">
        <v>316</v>
      </c>
      <c r="B97" s="17" t="str">
        <f>"emp"&amp;TEXT(VALUE(SUBSTITUTE(SUBSTITUTE(UPPER(TRIM(A97)),"EMP",""),"-","")),"000")</f>
        <v>emp095</v>
      </c>
      <c r="C97" s="2" t="s">
        <v>317</v>
      </c>
      <c r="D97" s="8">
        <v>43269</v>
      </c>
      <c r="E97" s="8">
        <f>IF(D97="","",
 IF(ISNUMBER(D97),D97,
 IFERROR(DATEVALUE(D97),
 IFERROR(DATEVALUE(SUBSTITUTE(SUBSTITUTE(SUBSTITUTE(LOWER(D97),"th",""),".","/"),"-","/")),"Check"))))</f>
        <v>43269</v>
      </c>
      <c r="F97" s="2" t="s">
        <v>24</v>
      </c>
      <c r="G97" s="2" t="s">
        <v>189</v>
      </c>
      <c r="H97" s="2" t="s">
        <v>13</v>
      </c>
      <c r="I97" s="9" t="s">
        <v>224</v>
      </c>
      <c r="J97" s="10" t="s">
        <v>318</v>
      </c>
      <c r="K97" s="1"/>
      <c r="L97" s="54">
        <f t="shared" si="6"/>
        <v>2018</v>
      </c>
      <c r="M97" s="18" t="str">
        <f t="shared" si="7"/>
        <v>Q2</v>
      </c>
      <c r="N97" t="str">
        <f t="shared" si="8"/>
        <v>2018-Q2</v>
      </c>
    </row>
    <row r="98" spans="1:14" x14ac:dyDescent="0.3">
      <c r="A98" s="2" t="s">
        <v>319</v>
      </c>
      <c r="B98" s="17" t="str">
        <f>"emp"&amp;TEXT(VALUE(SUBSTITUTE(SUBSTITUTE(UPPER(TRIM(A98)),"EMP",""),"-","")),"000")</f>
        <v>emp096</v>
      </c>
      <c r="C98" s="2" t="s">
        <v>320</v>
      </c>
      <c r="D98" s="8">
        <v>43870</v>
      </c>
      <c r="E98" s="8">
        <f>IF(D98="","",
 IF(ISNUMBER(D98),D98,
 IFERROR(DATEVALUE(D98),
 IFERROR(DATEVALUE(SUBSTITUTE(SUBSTITUTE(SUBSTITUTE(LOWER(D98),"th",""),".","/"),"-","/")),"Check"))))</f>
        <v>43870</v>
      </c>
      <c r="F98" s="2" t="s">
        <v>31</v>
      </c>
      <c r="G98" s="2" t="s">
        <v>193</v>
      </c>
      <c r="H98" s="2" t="s">
        <v>13</v>
      </c>
      <c r="I98" s="9" t="s">
        <v>62</v>
      </c>
      <c r="J98" s="10" t="s">
        <v>93</v>
      </c>
      <c r="K98" s="1"/>
      <c r="L98" s="54">
        <f t="shared" ref="L98:L130" si="9">IF(E98="","Missing",YEAR(E98))</f>
        <v>2020</v>
      </c>
      <c r="M98" s="18" t="str">
        <f t="shared" ref="M98:M130" si="10">IF(E98="","Missing","Q"&amp;ROUNDUP(MONTH(E98)/3,0))</f>
        <v>Q1</v>
      </c>
      <c r="N98" t="str">
        <f t="shared" ref="N98:N130" si="11">YEAR(E98)&amp;"-Q"&amp;ROUNDUP(MONTH(E98)/3,0)</f>
        <v>2020-Q1</v>
      </c>
    </row>
    <row r="99" spans="1:14" x14ac:dyDescent="0.3">
      <c r="A99" s="2" t="s">
        <v>321</v>
      </c>
      <c r="B99" s="17" t="str">
        <f>"emp"&amp;TEXT(VALUE(SUBSTITUTE(SUBSTITUTE(UPPER(TRIM(A99)),"EMP",""),"-","")),"000")</f>
        <v>emp097</v>
      </c>
      <c r="C99" s="2" t="s">
        <v>322</v>
      </c>
      <c r="D99" s="8">
        <v>42643</v>
      </c>
      <c r="E99" s="8">
        <f>IF(D99="","",
 IF(ISNUMBER(D99),D99,
 IFERROR(DATEVALUE(D99),
 IFERROR(DATEVALUE(SUBSTITUTE(SUBSTITUTE(SUBSTITUTE(LOWER(D99),"th",""),".","/"),"-","/")),"Check"))))</f>
        <v>42643</v>
      </c>
      <c r="F99" s="2" t="s">
        <v>31</v>
      </c>
      <c r="G99" s="2" t="s">
        <v>203</v>
      </c>
      <c r="H99" s="2" t="s">
        <v>55</v>
      </c>
      <c r="I99" s="9" t="s">
        <v>248</v>
      </c>
      <c r="J99" s="1"/>
      <c r="K99" s="1"/>
      <c r="L99" s="54">
        <f t="shared" si="9"/>
        <v>2016</v>
      </c>
      <c r="M99" s="18" t="str">
        <f t="shared" si="10"/>
        <v>Q3</v>
      </c>
      <c r="N99" t="str">
        <f t="shared" si="11"/>
        <v>2016-Q3</v>
      </c>
    </row>
    <row r="100" spans="1:14" x14ac:dyDescent="0.3">
      <c r="A100" s="2" t="s">
        <v>323</v>
      </c>
      <c r="B100" s="17" t="str">
        <f>"emp"&amp;TEXT(VALUE(SUBSTITUTE(SUBSTITUTE(UPPER(TRIM(A100)),"EMP",""),"-","")),"000")</f>
        <v>emp098</v>
      </c>
      <c r="C100" s="2" t="s">
        <v>324</v>
      </c>
      <c r="D100" s="8">
        <v>43470</v>
      </c>
      <c r="E100" s="8">
        <f>IF(D100="","",
 IF(ISNUMBER(D100),D100,
 IFERROR(DATEVALUE(D100),
 IFERROR(DATEVALUE(SUBSTITUTE(SUBSTITUTE(SUBSTITUTE(LOWER(D100),"th",""),".","/"),"-","/")),"Check"))))</f>
        <v>43470</v>
      </c>
      <c r="F100" s="2" t="s">
        <v>54</v>
      </c>
      <c r="G100" s="2" t="s">
        <v>196</v>
      </c>
      <c r="H100" s="2" t="s">
        <v>55</v>
      </c>
      <c r="I100" s="9" t="s">
        <v>251</v>
      </c>
      <c r="J100" s="1"/>
      <c r="K100" s="1"/>
      <c r="L100" s="54">
        <f t="shared" si="9"/>
        <v>2019</v>
      </c>
      <c r="M100" s="18" t="str">
        <f t="shared" si="10"/>
        <v>Q1</v>
      </c>
      <c r="N100" t="str">
        <f t="shared" si="11"/>
        <v>2019-Q1</v>
      </c>
    </row>
    <row r="101" spans="1:14" x14ac:dyDescent="0.3">
      <c r="A101" s="2" t="s">
        <v>325</v>
      </c>
      <c r="B101" s="17" t="str">
        <f>"emp"&amp;TEXT(VALUE(SUBSTITUTE(SUBSTITUTE(UPPER(TRIM(A101)),"EMP",""),"-","")),"000")</f>
        <v>emp099</v>
      </c>
      <c r="C101" s="2" t="s">
        <v>326</v>
      </c>
      <c r="D101" s="8">
        <v>42816</v>
      </c>
      <c r="E101" s="8">
        <f>IF(D101="","",
 IF(ISNUMBER(D101),D101,
 IFERROR(DATEVALUE(D101),
 IFERROR(DATEVALUE(SUBSTITUTE(SUBSTITUTE(SUBSTITUTE(LOWER(D101),"th",""),".","/"),"-","/")),"Check"))))</f>
        <v>42816</v>
      </c>
      <c r="F101" s="2" t="s">
        <v>170</v>
      </c>
      <c r="G101" s="2" t="s">
        <v>208</v>
      </c>
      <c r="H101" s="2" t="s">
        <v>13</v>
      </c>
      <c r="I101" s="9" t="s">
        <v>251</v>
      </c>
      <c r="J101" s="1"/>
      <c r="K101" s="1"/>
      <c r="L101" s="54">
        <f t="shared" si="9"/>
        <v>2017</v>
      </c>
      <c r="M101" s="18" t="str">
        <f t="shared" si="10"/>
        <v>Q1</v>
      </c>
      <c r="N101" t="str">
        <f t="shared" si="11"/>
        <v>2017-Q1</v>
      </c>
    </row>
    <row r="102" spans="1:14" x14ac:dyDescent="0.3">
      <c r="A102" s="2" t="s">
        <v>327</v>
      </c>
      <c r="B102" s="17" t="str">
        <f>"emp"&amp;TEXT(VALUE(SUBSTITUTE(SUBSTITUTE(UPPER(TRIM(A102)),"EMP",""),"-","")),"000")</f>
        <v>emp100</v>
      </c>
      <c r="C102" s="2" t="s">
        <v>328</v>
      </c>
      <c r="D102" s="8">
        <v>44774</v>
      </c>
      <c r="E102" s="8">
        <f>IF(D102="","",
 IF(ISNUMBER(D102),D102,
 IFERROR(DATEVALUE(D102),
 IFERROR(DATEVALUE(SUBSTITUTE(SUBSTITUTE(SUBSTITUTE(LOWER(D102),"th",""),".","/"),"-","/")),"Check"))))</f>
        <v>44774</v>
      </c>
      <c r="F102" s="2" t="s">
        <v>54</v>
      </c>
      <c r="G102" s="2" t="s">
        <v>189</v>
      </c>
      <c r="H102" s="2" t="s">
        <v>55</v>
      </c>
      <c r="I102" s="9" t="s">
        <v>260</v>
      </c>
      <c r="J102" s="1"/>
      <c r="K102" s="1"/>
      <c r="L102" s="54">
        <f t="shared" si="9"/>
        <v>2022</v>
      </c>
      <c r="M102" s="18" t="str">
        <f t="shared" si="10"/>
        <v>Q3</v>
      </c>
      <c r="N102" t="str">
        <f t="shared" si="11"/>
        <v>2022-Q3</v>
      </c>
    </row>
    <row r="103" spans="1:14" x14ac:dyDescent="0.3">
      <c r="A103" s="2" t="s">
        <v>329</v>
      </c>
      <c r="B103" s="17" t="str">
        <f>"emp"&amp;TEXT(VALUE(SUBSTITUTE(SUBSTITUTE(UPPER(TRIM(A103)),"EMP",""),"-","")),"000")</f>
        <v>emp101</v>
      </c>
      <c r="C103" s="2" t="s">
        <v>330</v>
      </c>
      <c r="D103" s="15">
        <v>45333</v>
      </c>
      <c r="E103" s="8">
        <f>IF(D103="","",
 IF(ISNUMBER(D103),D103,
 IFERROR(DATEVALUE(D103),
 IFERROR(DATEVALUE(SUBSTITUTE(SUBSTITUTE(SUBSTITUTE(LOWER(D103),"th",""),".","/"),"-","/")),"Check"))))</f>
        <v>45333</v>
      </c>
      <c r="F103" s="2" t="s">
        <v>11</v>
      </c>
      <c r="G103" s="2" t="s">
        <v>193</v>
      </c>
      <c r="H103" s="2" t="s">
        <v>13</v>
      </c>
      <c r="I103" s="9" t="s">
        <v>141</v>
      </c>
      <c r="J103" s="10" t="s">
        <v>153</v>
      </c>
      <c r="K103" s="1"/>
      <c r="L103" s="54">
        <f t="shared" si="9"/>
        <v>2024</v>
      </c>
      <c r="M103" s="18" t="str">
        <f t="shared" si="10"/>
        <v>Q1</v>
      </c>
      <c r="N103" t="str">
        <f t="shared" si="11"/>
        <v>2024-Q1</v>
      </c>
    </row>
    <row r="104" spans="1:14" x14ac:dyDescent="0.3">
      <c r="A104" s="2" t="s">
        <v>331</v>
      </c>
      <c r="B104" s="17" t="str">
        <f>"emp"&amp;TEXT(VALUE(SUBSTITUTE(SUBSTITUTE(UPPER(TRIM(A104)),"EMP",""),"-","")),"000")</f>
        <v>emp102</v>
      </c>
      <c r="C104" s="2" t="s">
        <v>332</v>
      </c>
      <c r="D104" s="1">
        <v>46003</v>
      </c>
      <c r="E104" s="8">
        <f>IF(D104="","",
 IF(ISNUMBER(D104),D104,
 IFERROR(DATEVALUE(D104),
 IFERROR(DATEVALUE(SUBSTITUTE(SUBSTITUTE(SUBSTITUTE(LOWER(D104),"th",""),".","/"),"-","/")),"Check"))))</f>
        <v>46003</v>
      </c>
      <c r="F104" s="2" t="s">
        <v>24</v>
      </c>
      <c r="G104" s="2" t="s">
        <v>193</v>
      </c>
      <c r="H104" s="2" t="s">
        <v>55</v>
      </c>
      <c r="I104" s="9" t="s">
        <v>333</v>
      </c>
      <c r="J104" s="1"/>
      <c r="K104" s="1"/>
      <c r="L104" s="54">
        <f t="shared" si="9"/>
        <v>2025</v>
      </c>
      <c r="M104" s="18" t="str">
        <f t="shared" si="10"/>
        <v>Q4</v>
      </c>
      <c r="N104" t="str">
        <f t="shared" si="11"/>
        <v>2025-Q4</v>
      </c>
    </row>
    <row r="105" spans="1:14" x14ac:dyDescent="0.3">
      <c r="A105" s="2" t="s">
        <v>334</v>
      </c>
      <c r="B105" s="17" t="str">
        <f>"emp"&amp;TEXT(VALUE(SUBSTITUTE(SUBSTITUTE(UPPER(TRIM(A105)),"EMP",""),"-","")),"000")</f>
        <v>emp103</v>
      </c>
      <c r="C105" s="2" t="s">
        <v>335</v>
      </c>
      <c r="D105" s="1"/>
      <c r="E105" s="8" t="str">
        <f>IF(D105="","",
 IF(ISNUMBER(D105),D105,
 IFERROR(DATEVALUE(D105),
 IFERROR(DATEVALUE(SUBSTITUTE(SUBSTITUTE(SUBSTITUTE(LOWER(D105),"th",""),".","/"),"-","/")),"Check"))))</f>
        <v/>
      </c>
      <c r="F105" s="2" t="s">
        <v>18</v>
      </c>
      <c r="G105" s="2" t="s">
        <v>189</v>
      </c>
      <c r="H105" s="2" t="s">
        <v>336</v>
      </c>
      <c r="I105" s="9" t="s">
        <v>337</v>
      </c>
      <c r="J105" s="10" t="s">
        <v>338</v>
      </c>
      <c r="K105" s="1"/>
      <c r="L105" s="54" t="str">
        <f t="shared" si="9"/>
        <v>Missing</v>
      </c>
      <c r="M105" s="18" t="str">
        <f t="shared" si="10"/>
        <v>Missing</v>
      </c>
      <c r="N105" t="s">
        <v>511</v>
      </c>
    </row>
    <row r="106" spans="1:14" x14ac:dyDescent="0.3">
      <c r="A106" s="2" t="s">
        <v>339</v>
      </c>
      <c r="B106" s="17" t="str">
        <f>"emp"&amp;TEXT(VALUE(SUBSTITUTE(SUBSTITUTE(UPPER(TRIM(A106)),"EMP",""),"-","")),"000")</f>
        <v>emp104</v>
      </c>
      <c r="C106" s="2" t="s">
        <v>340</v>
      </c>
      <c r="D106" s="1" t="s">
        <v>341</v>
      </c>
      <c r="E106" s="8">
        <f>IF(D106="","",
 IF(ISNUMBER(D106),D106,
 IFERROR(DATEVALUE(D106),
 IFERROR(DATEVALUE(SUBSTITUTE(SUBSTITUTE(SUBSTITUTE(LOWER(D106),"th",""),".","/"),"-","/")),"Check"))))</f>
        <v>46014</v>
      </c>
      <c r="F106" s="2" t="s">
        <v>24</v>
      </c>
      <c r="G106" s="2" t="s">
        <v>189</v>
      </c>
      <c r="H106" s="2" t="s">
        <v>13</v>
      </c>
      <c r="I106" s="9" t="s">
        <v>342</v>
      </c>
      <c r="J106" s="10" t="s">
        <v>278</v>
      </c>
      <c r="K106" s="1"/>
      <c r="L106" s="54">
        <f t="shared" si="9"/>
        <v>2025</v>
      </c>
      <c r="M106" s="18" t="str">
        <f t="shared" si="10"/>
        <v>Q4</v>
      </c>
      <c r="N106" t="str">
        <f t="shared" si="11"/>
        <v>2025-Q4</v>
      </c>
    </row>
    <row r="107" spans="1:14" x14ac:dyDescent="0.3">
      <c r="A107" s="2" t="s">
        <v>343</v>
      </c>
      <c r="B107" s="17" t="str">
        <f>"emp"&amp;TEXT(VALUE(SUBSTITUTE(SUBSTITUTE(UPPER(TRIM(A107)),"EMP",""),"-","")),"000")</f>
        <v>emp105</v>
      </c>
      <c r="C107" s="2" t="s">
        <v>344</v>
      </c>
      <c r="D107" s="1" t="s">
        <v>345</v>
      </c>
      <c r="E107" s="8">
        <f>IF(D107="","",
 IF(ISNUMBER(D107),D107,
 IFERROR(DATEVALUE(D107),
 IFERROR(DATEVALUE(SUBSTITUTE(SUBSTITUTE(SUBSTITUTE(LOWER(D107),"th",""),".","/"),"-","/")),"Check"))))</f>
        <v>46022</v>
      </c>
      <c r="F107" s="2" t="s">
        <v>346</v>
      </c>
      <c r="G107" s="2" t="s">
        <v>189</v>
      </c>
      <c r="H107" s="2" t="s">
        <v>55</v>
      </c>
      <c r="I107" s="9" t="s">
        <v>264</v>
      </c>
      <c r="J107" s="1"/>
      <c r="K107" s="1"/>
      <c r="L107" s="54">
        <f t="shared" si="9"/>
        <v>2025</v>
      </c>
      <c r="M107" s="18" t="str">
        <f t="shared" si="10"/>
        <v>Q4</v>
      </c>
      <c r="N107" t="str">
        <f t="shared" si="11"/>
        <v>2025-Q4</v>
      </c>
    </row>
    <row r="108" spans="1:14" x14ac:dyDescent="0.3">
      <c r="A108" s="2" t="s">
        <v>347</v>
      </c>
      <c r="B108" s="17" t="str">
        <f>"emp"&amp;TEXT(VALUE(SUBSTITUTE(SUBSTITUTE(UPPER(TRIM(A108)),"EMP",""),"-","")),"000")</f>
        <v>emp106</v>
      </c>
      <c r="C108" s="2" t="s">
        <v>348</v>
      </c>
      <c r="D108" s="14">
        <v>46003</v>
      </c>
      <c r="E108" s="8">
        <f>IF(D108="","",
 IF(ISNUMBER(D108),D108,
 IFERROR(DATEVALUE(D108),
 IFERROR(DATEVALUE(SUBSTITUTE(SUBSTITUTE(SUBSTITUTE(LOWER(D108),"th",""),".","/"),"-","/")),"Check"))))</f>
        <v>46003</v>
      </c>
      <c r="F108" s="2" t="s">
        <v>346</v>
      </c>
      <c r="G108" s="2" t="s">
        <v>189</v>
      </c>
      <c r="H108" s="2" t="s">
        <v>114</v>
      </c>
      <c r="I108" s="9" t="s">
        <v>337</v>
      </c>
      <c r="J108" s="10" t="s">
        <v>318</v>
      </c>
      <c r="K108" s="1"/>
      <c r="L108" s="54">
        <f t="shared" si="9"/>
        <v>2025</v>
      </c>
      <c r="M108" s="18" t="str">
        <f t="shared" si="10"/>
        <v>Q4</v>
      </c>
      <c r="N108" t="str">
        <f t="shared" si="11"/>
        <v>2025-Q4</v>
      </c>
    </row>
    <row r="109" spans="1:14" x14ac:dyDescent="0.3">
      <c r="A109" s="2" t="s">
        <v>349</v>
      </c>
      <c r="B109" s="17" t="str">
        <f>"emp"&amp;TEXT(VALUE(SUBSTITUTE(SUBSTITUTE(UPPER(TRIM(A109)),"EMP",""),"-","")),"000")</f>
        <v>emp107</v>
      </c>
      <c r="C109" s="2" t="s">
        <v>350</v>
      </c>
      <c r="D109" s="1"/>
      <c r="E109" s="8" t="str">
        <f>IF(D109="","",
 IF(ISNUMBER(D109),D109,
 IFERROR(DATEVALUE(D109),
 IFERROR(DATEVALUE(SUBSTITUTE(SUBSTITUTE(SUBSTITUTE(LOWER(D109),"th",""),".","/"),"-","/")),"Check"))))</f>
        <v/>
      </c>
      <c r="F109" s="2" t="s">
        <v>42</v>
      </c>
      <c r="G109" s="2" t="s">
        <v>25</v>
      </c>
      <c r="H109" s="2" t="s">
        <v>13</v>
      </c>
      <c r="I109" s="9" t="s">
        <v>138</v>
      </c>
      <c r="J109" s="10" t="s">
        <v>77</v>
      </c>
      <c r="K109" s="1"/>
      <c r="L109" s="54" t="str">
        <f t="shared" si="9"/>
        <v>Missing</v>
      </c>
      <c r="M109" s="18" t="str">
        <f t="shared" si="10"/>
        <v>Missing</v>
      </c>
      <c r="N109" t="s">
        <v>511</v>
      </c>
    </row>
    <row r="110" spans="1:14" x14ac:dyDescent="0.3">
      <c r="A110" s="2" t="s">
        <v>351</v>
      </c>
      <c r="B110" s="17" t="str">
        <f>"emp"&amp;TEXT(VALUE(SUBSTITUTE(SUBSTITUTE(UPPER(TRIM(A110)),"EMP",""),"-","")),"000")</f>
        <v>emp108</v>
      </c>
      <c r="C110" s="2" t="s">
        <v>352</v>
      </c>
      <c r="D110" s="8">
        <v>42843</v>
      </c>
      <c r="E110" s="8">
        <f>IF(D110="","",
 IF(ISNUMBER(D110),D110,
 IFERROR(DATEVALUE(D110),
 IFERROR(DATEVALUE(SUBSTITUTE(SUBSTITUTE(SUBSTITUTE(LOWER(D110),"th",""),".","/"),"-","/")),"Check"))))</f>
        <v>42843</v>
      </c>
      <c r="F110" s="2" t="s">
        <v>11</v>
      </c>
      <c r="G110" s="2" t="s">
        <v>25</v>
      </c>
      <c r="H110" s="2" t="s">
        <v>336</v>
      </c>
      <c r="I110" s="9" t="s">
        <v>131</v>
      </c>
      <c r="J110" s="10" t="s">
        <v>15</v>
      </c>
      <c r="K110" s="1"/>
      <c r="L110" s="54">
        <f t="shared" si="9"/>
        <v>2017</v>
      </c>
      <c r="M110" s="18" t="str">
        <f t="shared" si="10"/>
        <v>Q2</v>
      </c>
      <c r="N110" t="str">
        <f t="shared" si="11"/>
        <v>2017-Q2</v>
      </c>
    </row>
    <row r="111" spans="1:14" x14ac:dyDescent="0.3">
      <c r="A111" s="2" t="s">
        <v>353</v>
      </c>
      <c r="B111" s="17" t="str">
        <f>"emp"&amp;TEXT(VALUE(SUBSTITUTE(SUBSTITUTE(UPPER(TRIM(A111)),"EMP",""),"-","")),"000")</f>
        <v>emp110</v>
      </c>
      <c r="C111" s="2" t="s">
        <v>354</v>
      </c>
      <c r="D111" s="8">
        <v>45949</v>
      </c>
      <c r="E111" s="8">
        <f>IF(D111="","",
 IF(ISNUMBER(D111),D111,
 IFERROR(DATEVALUE(D111),
 IFERROR(DATEVALUE(SUBSTITUTE(SUBSTITUTE(SUBSTITUTE(LOWER(D111),"th",""),".","/"),"-","/")),"Check"))))</f>
        <v>45949</v>
      </c>
      <c r="F111" s="2" t="s">
        <v>54</v>
      </c>
      <c r="G111" s="2" t="s">
        <v>25</v>
      </c>
      <c r="H111" s="2" t="s">
        <v>55</v>
      </c>
      <c r="I111" s="9" t="s">
        <v>342</v>
      </c>
      <c r="J111" s="1"/>
      <c r="K111" s="1"/>
      <c r="L111" s="54">
        <f t="shared" si="9"/>
        <v>2025</v>
      </c>
      <c r="M111" s="18" t="str">
        <f t="shared" si="10"/>
        <v>Q4</v>
      </c>
      <c r="N111" t="str">
        <f t="shared" si="11"/>
        <v>2025-Q4</v>
      </c>
    </row>
    <row r="112" spans="1:14" x14ac:dyDescent="0.3">
      <c r="A112" s="2" t="s">
        <v>355</v>
      </c>
      <c r="B112" s="17" t="str">
        <f>"emp"&amp;TEXT(VALUE(SUBSTITUTE(SUBSTITUTE(UPPER(TRIM(A112)),"EMP",""),"-","")),"000")</f>
        <v>emp111</v>
      </c>
      <c r="C112" s="2" t="s">
        <v>356</v>
      </c>
      <c r="D112" s="14">
        <v>45281</v>
      </c>
      <c r="E112" s="8">
        <f>IF(D112="","",
 IF(ISNUMBER(D112),D112,
 IFERROR(DATEVALUE(D112),
 IFERROR(DATEVALUE(SUBSTITUTE(SUBSTITUTE(SUBSTITUTE(LOWER(D112),"th",""),".","/"),"-","/")),"Check"))))</f>
        <v>45281</v>
      </c>
      <c r="F112" s="2" t="s">
        <v>24</v>
      </c>
      <c r="G112" s="2" t="s">
        <v>12</v>
      </c>
      <c r="H112" s="2" t="s">
        <v>13</v>
      </c>
      <c r="I112" s="9" t="s">
        <v>180</v>
      </c>
      <c r="J112" s="10" t="s">
        <v>39</v>
      </c>
      <c r="K112" s="1"/>
      <c r="L112" s="54">
        <f t="shared" si="9"/>
        <v>2023</v>
      </c>
      <c r="M112" s="18" t="str">
        <f t="shared" si="10"/>
        <v>Q4</v>
      </c>
      <c r="N112" t="str">
        <f t="shared" si="11"/>
        <v>2023-Q4</v>
      </c>
    </row>
    <row r="113" spans="1:14" x14ac:dyDescent="0.3">
      <c r="A113" s="2" t="s">
        <v>357</v>
      </c>
      <c r="B113" s="17" t="str">
        <f>"emp"&amp;TEXT(VALUE(SUBSTITUTE(SUBSTITUTE(UPPER(TRIM(A113)),"EMP",""),"-","")),"000")</f>
        <v>emp123</v>
      </c>
      <c r="C113" s="2" t="s">
        <v>358</v>
      </c>
      <c r="D113" s="1" t="s">
        <v>359</v>
      </c>
      <c r="E113" s="8">
        <f>IF(D113="","",
 IF(ISNUMBER(D113),D113,
 IFERROR(DATEVALUE(D113),
 IFERROR(DATEVALUE(SUBSTITUTE(SUBSTITUTE(SUBSTITUTE(LOWER(D113),"th",""),".","/"),"-","/")),"Check"))))</f>
        <v>42735</v>
      </c>
      <c r="F113" s="2" t="s">
        <v>11</v>
      </c>
      <c r="G113" s="2" t="s">
        <v>12</v>
      </c>
      <c r="H113" s="2" t="s">
        <v>13</v>
      </c>
      <c r="I113" s="9" t="s">
        <v>360</v>
      </c>
      <c r="J113" s="10" t="s">
        <v>108</v>
      </c>
      <c r="K113" s="10" t="s">
        <v>153</v>
      </c>
      <c r="L113" s="54">
        <f t="shared" si="9"/>
        <v>2016</v>
      </c>
      <c r="M113" s="18" t="str">
        <f t="shared" si="10"/>
        <v>Q4</v>
      </c>
      <c r="N113" t="str">
        <f t="shared" si="11"/>
        <v>2016-Q4</v>
      </c>
    </row>
    <row r="114" spans="1:14" x14ac:dyDescent="0.3">
      <c r="A114" s="2" t="s">
        <v>361</v>
      </c>
      <c r="B114" s="17" t="str">
        <f>"emp"&amp;TEXT(VALUE(SUBSTITUTE(SUBSTITUTE(UPPER(TRIM(A114)),"EMP",""),"-","")),"000")</f>
        <v>emp046</v>
      </c>
      <c r="C114" s="2" t="s">
        <v>172</v>
      </c>
      <c r="D114" s="8">
        <v>44653</v>
      </c>
      <c r="E114" s="8">
        <f>IF(D114="","",
 IF(ISNUMBER(D114),D114,
 IFERROR(DATEVALUE(D114),
 IFERROR(DATEVALUE(SUBSTITUTE(SUBSTITUTE(SUBSTITUTE(LOWER(D114),"th",""),".","/"),"-","/")),"Check"))))</f>
        <v>44653</v>
      </c>
      <c r="F114" s="2" t="s">
        <v>54</v>
      </c>
      <c r="G114" s="2" t="s">
        <v>25</v>
      </c>
      <c r="H114" s="2" t="s">
        <v>55</v>
      </c>
      <c r="I114" s="9" t="s">
        <v>173</v>
      </c>
      <c r="J114" s="10" t="s">
        <v>63</v>
      </c>
      <c r="K114" s="1"/>
      <c r="L114" s="54">
        <f t="shared" si="9"/>
        <v>2022</v>
      </c>
      <c r="M114" s="18" t="str">
        <f t="shared" si="10"/>
        <v>Q2</v>
      </c>
      <c r="N114" t="str">
        <f t="shared" si="11"/>
        <v>2022-Q2</v>
      </c>
    </row>
    <row r="115" spans="1:14" x14ac:dyDescent="0.3">
      <c r="A115" s="2" t="s">
        <v>362</v>
      </c>
      <c r="B115" s="17" t="str">
        <f>"emp"&amp;TEXT(VALUE(SUBSTITUTE(SUBSTITUTE(UPPER(TRIM(A115)),"EMP",""),"-","")),"000")</f>
        <v>emp114</v>
      </c>
      <c r="C115" s="2" t="s">
        <v>363</v>
      </c>
      <c r="D115" s="15">
        <v>45638</v>
      </c>
      <c r="E115" s="8">
        <f>IF(D115="","",
 IF(ISNUMBER(D115),D115,
 IFERROR(DATEVALUE(D115),
 IFERROR(DATEVALUE(SUBSTITUTE(SUBSTITUTE(SUBSTITUTE(LOWER(D115),"th",""),".","/"),"-","/")),"Check"))))</f>
        <v>45638</v>
      </c>
      <c r="F115" s="2" t="s">
        <v>54</v>
      </c>
      <c r="G115" s="2" t="s">
        <v>12</v>
      </c>
      <c r="H115" s="2" t="s">
        <v>13</v>
      </c>
      <c r="I115" s="9" t="s">
        <v>100</v>
      </c>
      <c r="J115" s="10" t="s">
        <v>200</v>
      </c>
      <c r="K115" s="1"/>
      <c r="L115" s="54">
        <f t="shared" si="9"/>
        <v>2024</v>
      </c>
      <c r="M115" s="18" t="str">
        <f t="shared" si="10"/>
        <v>Q4</v>
      </c>
      <c r="N115" t="str">
        <f t="shared" si="11"/>
        <v>2024-Q4</v>
      </c>
    </row>
    <row r="116" spans="1:14" x14ac:dyDescent="0.3">
      <c r="A116" s="2" t="s">
        <v>364</v>
      </c>
      <c r="B116" s="17" t="str">
        <f>"emp"&amp;TEXT(VALUE(SUBSTITUTE(SUBSTITUTE(UPPER(TRIM(A116)),"EMP",""),"-","")),"000")</f>
        <v>emp152</v>
      </c>
      <c r="C116" s="2" t="s">
        <v>365</v>
      </c>
      <c r="D116" s="15">
        <v>44956</v>
      </c>
      <c r="E116" s="8">
        <f>IF(D116="","",
 IF(ISNUMBER(D116),D116,
 IFERROR(DATEVALUE(D116),
 IFERROR(DATEVALUE(SUBSTITUTE(SUBSTITUTE(SUBSTITUTE(LOWER(D116),"th",""),".","/"),"-","/")),"Check"))))</f>
        <v>44956</v>
      </c>
      <c r="F116" s="2" t="s">
        <v>24</v>
      </c>
      <c r="G116" s="2" t="s">
        <v>12</v>
      </c>
      <c r="H116" s="2" t="s">
        <v>114</v>
      </c>
      <c r="I116" s="9" t="s">
        <v>333</v>
      </c>
      <c r="J116" s="10" t="s">
        <v>265</v>
      </c>
      <c r="K116" s="1"/>
      <c r="L116" s="54">
        <f t="shared" si="9"/>
        <v>2023</v>
      </c>
      <c r="M116" s="18" t="str">
        <f t="shared" si="10"/>
        <v>Q1</v>
      </c>
      <c r="N116" t="str">
        <f t="shared" si="11"/>
        <v>2023-Q1</v>
      </c>
    </row>
    <row r="117" spans="1:14" x14ac:dyDescent="0.3">
      <c r="A117" s="2" t="s">
        <v>366</v>
      </c>
      <c r="B117" s="17" t="str">
        <f>"emp"&amp;TEXT(VALUE(SUBSTITUTE(SUBSTITUTE(UPPER(TRIM(A117)),"EMP",""),"-","")),"000")</f>
        <v>emp130</v>
      </c>
      <c r="C117" s="2" t="s">
        <v>367</v>
      </c>
      <c r="D117" s="1">
        <v>43159</v>
      </c>
      <c r="E117" s="8">
        <f>IF(D117="","",
 IF(ISNUMBER(D117),D117,
 IFERROR(DATEVALUE(D117),
 IFERROR(DATEVALUE(SUBSTITUTE(SUBSTITUTE(SUBSTITUTE(LOWER(D117),"th",""),".","/"),"-","/")),"Check"))))</f>
        <v>43159</v>
      </c>
      <c r="F117" s="2" t="s">
        <v>24</v>
      </c>
      <c r="G117" s="2" t="s">
        <v>12</v>
      </c>
      <c r="H117" s="2" t="s">
        <v>13</v>
      </c>
      <c r="I117" s="9" t="s">
        <v>368</v>
      </c>
      <c r="J117" s="10" t="s">
        <v>117</v>
      </c>
      <c r="K117" s="10" t="s">
        <v>142</v>
      </c>
      <c r="L117" s="54">
        <f t="shared" si="9"/>
        <v>2018</v>
      </c>
      <c r="M117" s="18" t="str">
        <f t="shared" si="10"/>
        <v>Q1</v>
      </c>
      <c r="N117" t="str">
        <f t="shared" si="11"/>
        <v>2018-Q1</v>
      </c>
    </row>
    <row r="118" spans="1:14" x14ac:dyDescent="0.3">
      <c r="A118" s="2" t="s">
        <v>369</v>
      </c>
      <c r="B118" s="17" t="str">
        <f>"emp"&amp;TEXT(VALUE(SUBSTITUTE(SUBSTITUTE(UPPER(TRIM(A118)),"EMP",""),"-","")),"000")</f>
        <v>emp135</v>
      </c>
      <c r="C118" s="2" t="s">
        <v>370</v>
      </c>
      <c r="D118" s="15">
        <v>43865</v>
      </c>
      <c r="E118" s="8">
        <f>IF(D118="","",
 IF(ISNUMBER(D118),D118,
 IFERROR(DATEVALUE(D118),
 IFERROR(DATEVALUE(SUBSTITUTE(SUBSTITUTE(SUBSTITUTE(LOWER(D118),"th",""),".","/"),"-","/")),"Check"))))</f>
        <v>43865</v>
      </c>
      <c r="F118" s="2" t="s">
        <v>54</v>
      </c>
      <c r="G118" s="2" t="s">
        <v>12</v>
      </c>
      <c r="H118" s="2" t="s">
        <v>55</v>
      </c>
      <c r="I118" s="9" t="s">
        <v>371</v>
      </c>
      <c r="J118" s="1"/>
      <c r="K118" s="1"/>
      <c r="L118" s="54">
        <f t="shared" si="9"/>
        <v>2020</v>
      </c>
      <c r="M118" s="18" t="str">
        <f t="shared" si="10"/>
        <v>Q1</v>
      </c>
      <c r="N118" t="str">
        <f t="shared" si="11"/>
        <v>2020-Q1</v>
      </c>
    </row>
    <row r="119" spans="1:14" x14ac:dyDescent="0.3">
      <c r="A119" s="2" t="s">
        <v>372</v>
      </c>
      <c r="B119" s="17" t="str">
        <f>"emp"&amp;TEXT(VALUE(SUBSTITUTE(SUBSTITUTE(UPPER(TRIM(A119)),"EMP",""),"-","")),"000")</f>
        <v>emp109</v>
      </c>
      <c r="C119" s="2" t="s">
        <v>373</v>
      </c>
      <c r="D119" s="8">
        <v>44133</v>
      </c>
      <c r="E119" s="8">
        <f>IF(D119="","",
 IF(ISNUMBER(D119),D119,
 IFERROR(DATEVALUE(D119),
 IFERROR(DATEVALUE(SUBSTITUTE(SUBSTITUTE(SUBSTITUTE(LOWER(D119),"th",""),".","/"),"-","/")),"Check"))))</f>
        <v>44133</v>
      </c>
      <c r="F119" s="2" t="s">
        <v>54</v>
      </c>
      <c r="G119" s="2" t="s">
        <v>203</v>
      </c>
      <c r="H119" s="2" t="s">
        <v>13</v>
      </c>
      <c r="I119" s="9" t="s">
        <v>292</v>
      </c>
      <c r="J119" s="10" t="s">
        <v>239</v>
      </c>
      <c r="K119" s="1"/>
      <c r="L119" s="54">
        <f t="shared" si="9"/>
        <v>2020</v>
      </c>
      <c r="M119" s="18" t="str">
        <f t="shared" si="10"/>
        <v>Q4</v>
      </c>
      <c r="N119" t="str">
        <f t="shared" si="11"/>
        <v>2020-Q4</v>
      </c>
    </row>
    <row r="120" spans="1:14" x14ac:dyDescent="0.3">
      <c r="A120" s="2" t="s">
        <v>374</v>
      </c>
      <c r="B120" s="17" t="str">
        <f>"emp"&amp;TEXT(VALUE(SUBSTITUTE(SUBSTITUTE(UPPER(TRIM(A120)),"EMP",""),"-","")),"000")</f>
        <v>emp112</v>
      </c>
      <c r="C120" s="2" t="s">
        <v>375</v>
      </c>
      <c r="D120" s="8">
        <v>42494</v>
      </c>
      <c r="E120" s="8">
        <f>IF(D120="","",
 IF(ISNUMBER(D120),D120,
 IFERROR(DATEVALUE(D120),
 IFERROR(DATEVALUE(SUBSTITUTE(SUBSTITUTE(SUBSTITUTE(LOWER(D120),"th",""),".","/"),"-","/")),"Check"))))</f>
        <v>42494</v>
      </c>
      <c r="F120" s="2" t="s">
        <v>24</v>
      </c>
      <c r="G120" s="2" t="s">
        <v>203</v>
      </c>
      <c r="H120" s="2" t="s">
        <v>13</v>
      </c>
      <c r="I120" s="9" t="s">
        <v>209</v>
      </c>
      <c r="J120" s="1"/>
      <c r="K120" s="1"/>
      <c r="L120" s="54">
        <f t="shared" si="9"/>
        <v>2016</v>
      </c>
      <c r="M120" s="18" t="str">
        <f t="shared" si="10"/>
        <v>Q2</v>
      </c>
      <c r="N120" t="str">
        <f t="shared" si="11"/>
        <v>2016-Q2</v>
      </c>
    </row>
    <row r="121" spans="1:14" x14ac:dyDescent="0.3">
      <c r="A121" s="2" t="s">
        <v>376</v>
      </c>
      <c r="B121" s="17" t="str">
        <f>"emp"&amp;TEXT(VALUE(SUBSTITUTE(SUBSTITUTE(UPPER(TRIM(A121)),"EMP",""),"-","")),"000")</f>
        <v>emp113</v>
      </c>
      <c r="C121" s="2" t="s">
        <v>377</v>
      </c>
      <c r="D121" s="8">
        <v>42816</v>
      </c>
      <c r="E121" s="8">
        <f>IF(D121="","",
 IF(ISNUMBER(D121),D121,
 IFERROR(DATEVALUE(D121),
 IFERROR(DATEVALUE(SUBSTITUTE(SUBSTITUTE(SUBSTITUTE(LOWER(D121),"th",""),".","/"),"-","/")),"Check"))))</f>
        <v>42816</v>
      </c>
      <c r="F121" s="2" t="s">
        <v>170</v>
      </c>
      <c r="G121" s="2" t="s">
        <v>203</v>
      </c>
      <c r="H121" s="2" t="s">
        <v>13</v>
      </c>
      <c r="I121" s="9" t="s">
        <v>56</v>
      </c>
      <c r="J121" s="10" t="s">
        <v>117</v>
      </c>
      <c r="K121" s="1"/>
      <c r="L121" s="54">
        <f t="shared" si="9"/>
        <v>2017</v>
      </c>
      <c r="M121" s="18" t="str">
        <f t="shared" si="10"/>
        <v>Q1</v>
      </c>
      <c r="N121" t="str">
        <f t="shared" si="11"/>
        <v>2017-Q1</v>
      </c>
    </row>
    <row r="122" spans="1:14" x14ac:dyDescent="0.3">
      <c r="A122" s="2" t="s">
        <v>378</v>
      </c>
      <c r="B122" s="17" t="str">
        <f>"emp"&amp;TEXT(VALUE(SUBSTITUTE(SUBSTITUTE(UPPER(TRIM(A122)),"EMP",""),"-","")),"000")</f>
        <v>emp115</v>
      </c>
      <c r="C122" s="2" t="s">
        <v>283</v>
      </c>
      <c r="D122" s="8">
        <v>43788</v>
      </c>
      <c r="E122" s="8">
        <f>IF(D122="","",
 IF(ISNUMBER(D122),D122,
 IFERROR(DATEVALUE(D122),
 IFERROR(DATEVALUE(SUBSTITUTE(SUBSTITUTE(SUBSTITUTE(LOWER(D122),"th",""),".","/"),"-","/")),"Check"))))</f>
        <v>43788</v>
      </c>
      <c r="F122" s="2" t="s">
        <v>31</v>
      </c>
      <c r="G122" s="2" t="s">
        <v>203</v>
      </c>
      <c r="H122" s="2" t="s">
        <v>13</v>
      </c>
      <c r="I122" s="9" t="s">
        <v>284</v>
      </c>
      <c r="J122" s="1"/>
      <c r="K122" s="1"/>
      <c r="L122" s="54">
        <f t="shared" si="9"/>
        <v>2019</v>
      </c>
      <c r="M122" s="18" t="str">
        <f t="shared" si="10"/>
        <v>Q4</v>
      </c>
      <c r="N122" t="str">
        <f t="shared" si="11"/>
        <v>2019-Q4</v>
      </c>
    </row>
    <row r="123" spans="1:14" x14ac:dyDescent="0.3">
      <c r="A123" s="2" t="s">
        <v>379</v>
      </c>
      <c r="B123" s="17" t="str">
        <f>"emp"&amp;TEXT(VALUE(SUBSTITUTE(SUBSTITUTE(UPPER(TRIM(A123)),"EMP",""),"-","")),"000")</f>
        <v>emp116</v>
      </c>
      <c r="C123" s="2" t="s">
        <v>380</v>
      </c>
      <c r="D123" s="1" t="s">
        <v>341</v>
      </c>
      <c r="E123" s="8">
        <f>IF(D123="","",
 IF(ISNUMBER(D123),D123,
 IFERROR(DATEVALUE(D123),
 IFERROR(DATEVALUE(SUBSTITUTE(SUBSTITUTE(SUBSTITUTE(LOWER(D123),"th",""),".","/"),"-","/")),"Check"))))</f>
        <v>46014</v>
      </c>
      <c r="F123" s="2" t="s">
        <v>31</v>
      </c>
      <c r="G123" s="2" t="s">
        <v>203</v>
      </c>
      <c r="H123" s="2" t="s">
        <v>13</v>
      </c>
      <c r="I123" s="9" t="s">
        <v>292</v>
      </c>
      <c r="J123" s="10" t="s">
        <v>315</v>
      </c>
      <c r="K123" s="1"/>
      <c r="L123" s="54">
        <f t="shared" si="9"/>
        <v>2025</v>
      </c>
      <c r="M123" s="18" t="str">
        <f t="shared" si="10"/>
        <v>Q4</v>
      </c>
      <c r="N123" t="str">
        <f t="shared" si="11"/>
        <v>2025-Q4</v>
      </c>
    </row>
    <row r="124" spans="1:14" ht="28.8" x14ac:dyDescent="0.3">
      <c r="A124" s="2" t="s">
        <v>381</v>
      </c>
      <c r="B124" s="17" t="str">
        <f>"emp"&amp;TEXT(VALUE(SUBSTITUTE(SUBSTITUTE(UPPER(TRIM(A124)),"EMP",""),"-","")),"000")</f>
        <v>emp117</v>
      </c>
      <c r="C124" s="2" t="s">
        <v>382</v>
      </c>
      <c r="D124" s="1" t="s">
        <v>345</v>
      </c>
      <c r="E124" s="8">
        <f>IF(D124="","",
 IF(ISNUMBER(D124),D124,
 IFERROR(DATEVALUE(D124),
 IFERROR(DATEVALUE(SUBSTITUTE(SUBSTITUTE(SUBSTITUTE(LOWER(D124),"th",""),".","/"),"-","/")),"Check"))))</f>
        <v>46022</v>
      </c>
      <c r="F124" s="2" t="s">
        <v>31</v>
      </c>
      <c r="G124" s="2" t="s">
        <v>203</v>
      </c>
      <c r="H124" s="2" t="s">
        <v>114</v>
      </c>
      <c r="I124" s="9" t="s">
        <v>371</v>
      </c>
      <c r="J124" s="11" t="s">
        <v>383</v>
      </c>
      <c r="K124" s="1"/>
      <c r="L124" s="54">
        <f t="shared" si="9"/>
        <v>2025</v>
      </c>
      <c r="M124" s="18" t="str">
        <f t="shared" si="10"/>
        <v>Q4</v>
      </c>
      <c r="N124" t="str">
        <f t="shared" si="11"/>
        <v>2025-Q4</v>
      </c>
    </row>
    <row r="125" spans="1:14" x14ac:dyDescent="0.3">
      <c r="A125" s="2" t="s">
        <v>384</v>
      </c>
      <c r="B125" s="17" t="str">
        <f>"emp"&amp;TEXT(VALUE(SUBSTITUTE(SUBSTITUTE(UPPER(TRIM(A125)),"EMP",""),"-","")),"000")</f>
        <v>emp118</v>
      </c>
      <c r="C125" s="2" t="s">
        <v>385</v>
      </c>
      <c r="D125" s="8">
        <v>42494</v>
      </c>
      <c r="E125" s="8">
        <f>IF(D125="","",
 IF(ISNUMBER(D125),D125,
 IFERROR(DATEVALUE(D125),
 IFERROR(DATEVALUE(SUBSTITUTE(SUBSTITUTE(SUBSTITUTE(LOWER(D125),"th",""),".","/"),"-","/")),"Check"))))</f>
        <v>42494</v>
      </c>
      <c r="F125" s="2" t="s">
        <v>54</v>
      </c>
      <c r="G125" s="2" t="s">
        <v>203</v>
      </c>
      <c r="H125" s="2" t="s">
        <v>114</v>
      </c>
      <c r="I125" s="9" t="s">
        <v>257</v>
      </c>
      <c r="J125" s="10" t="s">
        <v>218</v>
      </c>
      <c r="K125" s="1"/>
      <c r="L125" s="54">
        <f t="shared" si="9"/>
        <v>2016</v>
      </c>
      <c r="M125" s="18" t="str">
        <f t="shared" si="10"/>
        <v>Q2</v>
      </c>
      <c r="N125" t="str">
        <f t="shared" si="11"/>
        <v>2016-Q2</v>
      </c>
    </row>
    <row r="126" spans="1:14" x14ac:dyDescent="0.3">
      <c r="A126" s="2" t="s">
        <v>386</v>
      </c>
      <c r="B126" s="17" t="str">
        <f>"emp"&amp;TEXT(VALUE(SUBSTITUTE(SUBSTITUTE(UPPER(TRIM(A126)),"EMP",""),"-","")),"000")</f>
        <v>emp119</v>
      </c>
      <c r="C126" s="2" t="s">
        <v>387</v>
      </c>
      <c r="D126" s="2" t="s">
        <v>287</v>
      </c>
      <c r="E126" s="8">
        <f>IF(D126="","",
 IF(ISNUMBER(D126),D126,
 IFERROR(DATEVALUE(D126),
 IFERROR(DATEVALUE(SUBSTITUTE(SUBSTITUTE(SUBSTITUTE(LOWER(D126),"th",""),".","/"),"-","/")),"Check"))))</f>
        <v>44076</v>
      </c>
      <c r="F126" s="2" t="s">
        <v>42</v>
      </c>
      <c r="G126" s="2" t="s">
        <v>203</v>
      </c>
      <c r="H126" s="2" t="s">
        <v>13</v>
      </c>
      <c r="I126" s="9" t="s">
        <v>301</v>
      </c>
      <c r="J126" s="10" t="s">
        <v>388</v>
      </c>
      <c r="K126" s="1"/>
      <c r="L126" s="54">
        <f t="shared" si="9"/>
        <v>2020</v>
      </c>
      <c r="M126" s="18" t="str">
        <f t="shared" si="10"/>
        <v>Q3</v>
      </c>
      <c r="N126" t="str">
        <f t="shared" si="11"/>
        <v>2020-Q3</v>
      </c>
    </row>
    <row r="127" spans="1:14" x14ac:dyDescent="0.3">
      <c r="A127" s="2" t="s">
        <v>389</v>
      </c>
      <c r="B127" s="17" t="str">
        <f>"emp"&amp;TEXT(VALUE(SUBSTITUTE(SUBSTITUTE(UPPER(TRIM(A127)),"EMP",""),"-","")),"000")</f>
        <v>emp120</v>
      </c>
      <c r="C127" s="2" t="s">
        <v>390</v>
      </c>
      <c r="D127" s="8">
        <v>43860</v>
      </c>
      <c r="E127" s="8">
        <f>IF(D127="","",
 IF(ISNUMBER(D127),D127,
 IFERROR(DATEVALUE(D127),
 IFERROR(DATEVALUE(SUBSTITUTE(SUBSTITUTE(SUBSTITUTE(LOWER(D127),"th",""),".","/"),"-","/")),"Check"))))</f>
        <v>43860</v>
      </c>
      <c r="F127" s="2" t="s">
        <v>391</v>
      </c>
      <c r="G127" s="2" t="s">
        <v>208</v>
      </c>
      <c r="H127" s="2" t="s">
        <v>13</v>
      </c>
      <c r="I127" s="9" t="s">
        <v>281</v>
      </c>
      <c r="J127" s="10" t="s">
        <v>388</v>
      </c>
      <c r="K127" s="1"/>
      <c r="L127" s="54">
        <f t="shared" si="9"/>
        <v>2020</v>
      </c>
      <c r="M127" s="18" t="str">
        <f t="shared" si="10"/>
        <v>Q1</v>
      </c>
      <c r="N127" t="str">
        <f t="shared" si="11"/>
        <v>2020-Q1</v>
      </c>
    </row>
    <row r="128" spans="1:14" x14ac:dyDescent="0.3">
      <c r="A128" s="2" t="s">
        <v>392</v>
      </c>
      <c r="B128" s="17" t="str">
        <f>"emp"&amp;TEXT(VALUE(SUBSTITUTE(SUBSTITUTE(UPPER(TRIM(A128)),"EMP",""),"-","")),"000")</f>
        <v>emp121</v>
      </c>
      <c r="C128" s="2" t="s">
        <v>393</v>
      </c>
      <c r="D128" s="8">
        <v>42801</v>
      </c>
      <c r="E128" s="8">
        <f>IF(D128="","",
 IF(ISNUMBER(D128),D128,
 IFERROR(DATEVALUE(D128),
 IFERROR(DATEVALUE(SUBSTITUTE(SUBSTITUTE(SUBSTITUTE(LOWER(D128),"th",""),".","/"),"-","/")),"Check"))))</f>
        <v>42801</v>
      </c>
      <c r="F128" s="2" t="s">
        <v>54</v>
      </c>
      <c r="G128" s="2" t="s">
        <v>208</v>
      </c>
      <c r="H128" s="2" t="s">
        <v>13</v>
      </c>
      <c r="I128" s="9" t="s">
        <v>138</v>
      </c>
      <c r="J128" s="1"/>
      <c r="K128" s="1"/>
      <c r="L128" s="54">
        <f t="shared" si="9"/>
        <v>2017</v>
      </c>
      <c r="M128" s="18" t="str">
        <f t="shared" si="10"/>
        <v>Q1</v>
      </c>
      <c r="N128" t="str">
        <f t="shared" si="11"/>
        <v>2017-Q1</v>
      </c>
    </row>
    <row r="129" spans="1:14" x14ac:dyDescent="0.3">
      <c r="A129" s="2" t="s">
        <v>394</v>
      </c>
      <c r="B129" s="17" t="str">
        <f>"emp"&amp;TEXT(VALUE(SUBSTITUTE(SUBSTITUTE(UPPER(TRIM(A129)),"EMP",""),"-","")),"000")</f>
        <v>emp122</v>
      </c>
      <c r="C129" s="2" t="s">
        <v>395</v>
      </c>
      <c r="D129" s="8">
        <v>44733</v>
      </c>
      <c r="E129" s="8">
        <f>IF(D129="","",
 IF(ISNUMBER(D129),D129,
 IFERROR(DATEVALUE(D129),
 IFERROR(DATEVALUE(SUBSTITUTE(SUBSTITUTE(SUBSTITUTE(LOWER(D129),"th",""),".","/"),"-","/")),"Check"))))</f>
        <v>44733</v>
      </c>
      <c r="F129" s="2" t="s">
        <v>31</v>
      </c>
      <c r="G129" s="2" t="s">
        <v>208</v>
      </c>
      <c r="H129" s="2" t="s">
        <v>13</v>
      </c>
      <c r="I129" s="9" t="s">
        <v>368</v>
      </c>
      <c r="J129" s="10" t="s">
        <v>153</v>
      </c>
      <c r="K129" s="1"/>
      <c r="L129" s="54">
        <f t="shared" si="9"/>
        <v>2022</v>
      </c>
      <c r="M129" s="18" t="str">
        <f t="shared" si="10"/>
        <v>Q2</v>
      </c>
      <c r="N129" t="str">
        <f t="shared" si="11"/>
        <v>2022-Q2</v>
      </c>
    </row>
    <row r="130" spans="1:14" x14ac:dyDescent="0.3">
      <c r="A130" s="1" t="s">
        <v>396</v>
      </c>
      <c r="B130" s="21" t="str">
        <f>"emp"&amp;TEXT(VALUE(SUBSTITUTE(SUBSTITUTE(UPPER(TRIM(A130)),"EMP",""),"-","")),"000")</f>
        <v>emp123</v>
      </c>
      <c r="C130" s="22" t="s">
        <v>358</v>
      </c>
      <c r="D130" s="23">
        <v>42735</v>
      </c>
      <c r="E130" s="24">
        <f>IF(D130="","",
 IF(ISNUMBER(D130),D130,
 IFERROR(DATEVALUE(D130),
 IFERROR(DATEVALUE(SUBSTITUTE(SUBSTITUTE(SUBSTITUTE(LOWER(D130),"th",""),".","/"),"-","/")),"Check"))))</f>
        <v>42735</v>
      </c>
      <c r="F130" s="22" t="s">
        <v>11</v>
      </c>
      <c r="G130" s="22" t="s">
        <v>12</v>
      </c>
      <c r="H130" s="22" t="s">
        <v>13</v>
      </c>
      <c r="I130" s="22" t="s">
        <v>360</v>
      </c>
      <c r="J130" s="22" t="s">
        <v>108</v>
      </c>
      <c r="K130" s="22" t="s">
        <v>153</v>
      </c>
      <c r="L130" s="55">
        <f t="shared" si="9"/>
        <v>2016</v>
      </c>
      <c r="M130" s="25" t="str">
        <f t="shared" si="10"/>
        <v>Q4</v>
      </c>
      <c r="N130" t="str">
        <f t="shared" si="11"/>
        <v>2016-Q4</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D1A89-FDC2-4F3F-AA3D-6CA160A5AB15}">
  <dimension ref="A1:M136"/>
  <sheetViews>
    <sheetView zoomScale="110" workbookViewId="0">
      <selection activeCell="F72" sqref="F72"/>
    </sheetView>
  </sheetViews>
  <sheetFormatPr defaultRowHeight="14.4" x14ac:dyDescent="0.3"/>
  <cols>
    <col min="1" max="1" width="11.33203125" bestFit="1" customWidth="1"/>
    <col min="2" max="2" width="25.21875" bestFit="1" customWidth="1"/>
    <col min="3" max="3" width="11.33203125" hidden="1" customWidth="1"/>
    <col min="4" max="4" width="11.5546875" bestFit="1" customWidth="1"/>
    <col min="5" max="5" width="10.5546875" hidden="1" customWidth="1"/>
    <col min="6" max="6" width="11.5546875" customWidth="1"/>
    <col min="7" max="7" width="10.5546875" style="34" bestFit="1" customWidth="1"/>
    <col min="8" max="8" width="9.6640625" customWidth="1"/>
    <col min="9" max="9" width="23.33203125" customWidth="1"/>
    <col min="10" max="10" width="14.88671875" bestFit="1" customWidth="1"/>
    <col min="11" max="11" width="20.88671875" customWidth="1"/>
    <col min="12" max="12" width="16.5546875" customWidth="1"/>
    <col min="13" max="13" width="20.88671875" customWidth="1"/>
  </cols>
  <sheetData>
    <row r="1" spans="1:12" ht="28.8" x14ac:dyDescent="0.3">
      <c r="A1" s="36" t="s">
        <v>397</v>
      </c>
      <c r="B1" s="37" t="s">
        <v>398</v>
      </c>
      <c r="C1" s="37" t="s">
        <v>399</v>
      </c>
      <c r="D1" s="43" t="s">
        <v>499</v>
      </c>
      <c r="E1" s="37" t="s">
        <v>400</v>
      </c>
      <c r="F1" s="43" t="s">
        <v>500</v>
      </c>
      <c r="G1" s="47" t="s">
        <v>401</v>
      </c>
      <c r="H1" s="43" t="s">
        <v>501</v>
      </c>
      <c r="I1" s="43" t="s">
        <v>504</v>
      </c>
      <c r="J1" s="48" t="s">
        <v>503</v>
      </c>
      <c r="K1" s="37" t="s">
        <v>518</v>
      </c>
      <c r="L1" s="37" t="s">
        <v>519</v>
      </c>
    </row>
    <row r="2" spans="1:12" x14ac:dyDescent="0.3">
      <c r="A2" s="17" t="s">
        <v>84</v>
      </c>
      <c r="B2" s="2" t="s">
        <v>402</v>
      </c>
      <c r="C2" s="3">
        <v>45880</v>
      </c>
      <c r="D2" s="3">
        <f>IF(C2="","",
 IF(ISNUMBER(C2),C2,
 IFERROR(DATEVALUE(C2),
 IFERROR(DATEVALUE(SUBSTITUTE(SUBSTITUTE(C2,"-","/"),",","")),"Check"))))</f>
        <v>45880</v>
      </c>
      <c r="E2" s="3">
        <v>46038</v>
      </c>
      <c r="F2" s="3">
        <f>IF(E2="","",
 IF(ISNUMBER(E2),E2,
 IFERROR(DATEVALUE(E2),
 IFERROR(DATEVALUE(SUBSTITUTE(SUBSTITUTE(E2,"-","/"),",","")),"Check"))))</f>
        <v>46038</v>
      </c>
      <c r="G2" s="32">
        <v>46322</v>
      </c>
      <c r="H2" s="3">
        <f t="shared" ref="H2:H33" si="0">IF(G2&lt;&gt;"",G2,F2)</f>
        <v>46322</v>
      </c>
      <c r="I2" s="40">
        <f t="shared" ref="I2:I33" si="1">IF(OR(NOT(ISNUMBER(C2)),NOT(ISNUMBER(H2))),"",H2-C2)</f>
        <v>442</v>
      </c>
      <c r="J2" s="49" t="str">
        <f t="shared" ref="J2:J33" si="2">IF(I2&gt;90,"Long Project","Normal")</f>
        <v>Long Project</v>
      </c>
      <c r="K2" s="42" t="str">
        <f t="shared" ref="K2:K33" ca="1" si="3">IF(OR(H2="",NOT(ISNUMBER(H2))),
   "Planned/In Progress",
   IF(H2&lt;TODAY(),"Completed","In Progress"))</f>
        <v>In Progress</v>
      </c>
      <c r="L2" s="57" t="str">
        <f t="shared" ref="L2:L33" ca="1" si="4">IF(OR(NOT(ISNUMBER(F2)),NOT(ISNUMBER(H2))),
   "Missing",
   IF(H2&lt;TODAY(),
      IF(H2&gt;F2,H2-F2,"On Time"),
      "In Progress"))</f>
        <v>In Progress</v>
      </c>
    </row>
    <row r="3" spans="1:12" x14ac:dyDescent="0.3">
      <c r="A3" s="17" t="s">
        <v>111</v>
      </c>
      <c r="B3" s="2" t="s">
        <v>403</v>
      </c>
      <c r="C3" s="3">
        <v>45901</v>
      </c>
      <c r="D3" s="3">
        <f t="shared" ref="D3:D66" si="5">IF(C3="","",
 IF(ISNUMBER(C3),C3,
 IFERROR(DATEVALUE(C3),
 IFERROR(DATEVALUE(SUBSTITUTE(SUBSTITUTE(C3,"-","/"),",","")),"Check"))))</f>
        <v>45901</v>
      </c>
      <c r="E3" s="3">
        <v>46298</v>
      </c>
      <c r="F3" s="3">
        <f t="shared" ref="F3:F65" si="6">IF(E3="","",
 IF(ISNUMBER(E3),E3,
 IFERROR(DATEVALUE(E3),
 IFERROR(DATEVALUE(SUBSTITUTE(SUBSTITUTE(E3,"-","/"),",","")),"Check"))))</f>
        <v>46298</v>
      </c>
      <c r="G3" s="32"/>
      <c r="H3" s="3">
        <f t="shared" si="0"/>
        <v>46298</v>
      </c>
      <c r="I3" s="40">
        <f t="shared" si="1"/>
        <v>397</v>
      </c>
      <c r="J3" s="49" t="str">
        <f t="shared" si="2"/>
        <v>Long Project</v>
      </c>
      <c r="K3" s="42" t="str">
        <f t="shared" ca="1" si="3"/>
        <v>In Progress</v>
      </c>
      <c r="L3" s="57" t="str">
        <f t="shared" ca="1" si="4"/>
        <v>In Progress</v>
      </c>
    </row>
    <row r="4" spans="1:12" x14ac:dyDescent="0.3">
      <c r="A4" s="17" t="s">
        <v>292</v>
      </c>
      <c r="B4" s="2" t="s">
        <v>404</v>
      </c>
      <c r="C4" s="3">
        <v>45915</v>
      </c>
      <c r="D4" s="3">
        <f t="shared" si="5"/>
        <v>45915</v>
      </c>
      <c r="E4" s="3">
        <v>46022</v>
      </c>
      <c r="F4" s="3">
        <f t="shared" si="6"/>
        <v>46022</v>
      </c>
      <c r="G4" s="32">
        <v>46108</v>
      </c>
      <c r="H4" s="3">
        <f t="shared" si="0"/>
        <v>46108</v>
      </c>
      <c r="I4" s="40">
        <f t="shared" si="1"/>
        <v>193</v>
      </c>
      <c r="J4" s="49" t="str">
        <f t="shared" si="2"/>
        <v>Long Project</v>
      </c>
      <c r="K4" s="42" t="str">
        <f t="shared" ca="1" si="3"/>
        <v>Completed</v>
      </c>
      <c r="L4" s="61">
        <f t="shared" ca="1" si="4"/>
        <v>86</v>
      </c>
    </row>
    <row r="5" spans="1:12" x14ac:dyDescent="0.3">
      <c r="A5" s="17" t="s">
        <v>56</v>
      </c>
      <c r="B5" s="2" t="s">
        <v>405</v>
      </c>
      <c r="C5" s="3">
        <v>46069</v>
      </c>
      <c r="D5" s="3">
        <f t="shared" si="5"/>
        <v>46069</v>
      </c>
      <c r="E5" s="3">
        <v>46136</v>
      </c>
      <c r="F5" s="3">
        <f t="shared" si="6"/>
        <v>46136</v>
      </c>
      <c r="G5" s="32"/>
      <c r="H5" s="3">
        <f t="shared" si="0"/>
        <v>46136</v>
      </c>
      <c r="I5" s="40">
        <f t="shared" si="1"/>
        <v>67</v>
      </c>
      <c r="J5" s="49" t="str">
        <f t="shared" si="2"/>
        <v>Normal</v>
      </c>
      <c r="K5" s="42" t="str">
        <f t="shared" ca="1" si="3"/>
        <v>In Progress</v>
      </c>
      <c r="L5" s="57" t="str">
        <f t="shared" ca="1" si="4"/>
        <v>In Progress</v>
      </c>
    </row>
    <row r="6" spans="1:12" x14ac:dyDescent="0.3">
      <c r="A6" s="17" t="s">
        <v>72</v>
      </c>
      <c r="B6" s="2" t="s">
        <v>406</v>
      </c>
      <c r="C6" s="3">
        <v>45510</v>
      </c>
      <c r="D6" s="3">
        <f t="shared" si="5"/>
        <v>45510</v>
      </c>
      <c r="E6" s="3">
        <v>46127</v>
      </c>
      <c r="F6" s="3">
        <f t="shared" si="6"/>
        <v>46127</v>
      </c>
      <c r="G6" s="32"/>
      <c r="H6" s="3">
        <f t="shared" si="0"/>
        <v>46127</v>
      </c>
      <c r="I6" s="40">
        <f t="shared" si="1"/>
        <v>617</v>
      </c>
      <c r="J6" s="49" t="str">
        <f t="shared" si="2"/>
        <v>Long Project</v>
      </c>
      <c r="K6" s="42" t="str">
        <f t="shared" ca="1" si="3"/>
        <v>In Progress</v>
      </c>
      <c r="L6" s="57" t="str">
        <f t="shared" ca="1" si="4"/>
        <v>In Progress</v>
      </c>
    </row>
    <row r="7" spans="1:12" x14ac:dyDescent="0.3">
      <c r="A7" s="17" t="s">
        <v>176</v>
      </c>
      <c r="B7" s="2" t="s">
        <v>407</v>
      </c>
      <c r="C7" s="3">
        <v>45748</v>
      </c>
      <c r="D7" s="3">
        <f t="shared" si="5"/>
        <v>45748</v>
      </c>
      <c r="E7" s="3">
        <v>46387</v>
      </c>
      <c r="F7" s="3">
        <f t="shared" si="6"/>
        <v>46387</v>
      </c>
      <c r="G7" s="32"/>
      <c r="H7" s="3">
        <f t="shared" si="0"/>
        <v>46387</v>
      </c>
      <c r="I7" s="40">
        <f t="shared" si="1"/>
        <v>639</v>
      </c>
      <c r="J7" s="49" t="str">
        <f t="shared" si="2"/>
        <v>Long Project</v>
      </c>
      <c r="K7" s="42" t="str">
        <f t="shared" ca="1" si="3"/>
        <v>In Progress</v>
      </c>
      <c r="L7" s="57" t="str">
        <f t="shared" ca="1" si="4"/>
        <v>In Progress</v>
      </c>
    </row>
    <row r="8" spans="1:12" x14ac:dyDescent="0.3">
      <c r="A8" s="17" t="s">
        <v>26</v>
      </c>
      <c r="B8" s="2" t="s">
        <v>408</v>
      </c>
      <c r="C8" s="3">
        <v>45458</v>
      </c>
      <c r="D8" s="3">
        <f t="shared" si="5"/>
        <v>45458</v>
      </c>
      <c r="E8" s="4">
        <v>46265</v>
      </c>
      <c r="F8" s="3">
        <f t="shared" si="6"/>
        <v>46265</v>
      </c>
      <c r="G8" s="32"/>
      <c r="H8" s="3">
        <f t="shared" si="0"/>
        <v>46265</v>
      </c>
      <c r="I8" s="40">
        <f t="shared" si="1"/>
        <v>807</v>
      </c>
      <c r="J8" s="49" t="str">
        <f t="shared" si="2"/>
        <v>Long Project</v>
      </c>
      <c r="K8" s="42" t="str">
        <f t="shared" ca="1" si="3"/>
        <v>In Progress</v>
      </c>
      <c r="L8" s="57" t="str">
        <f t="shared" ca="1" si="4"/>
        <v>In Progress</v>
      </c>
    </row>
    <row r="9" spans="1:12" x14ac:dyDescent="0.3">
      <c r="A9" s="17" t="s">
        <v>260</v>
      </c>
      <c r="B9" s="2" t="s">
        <v>409</v>
      </c>
      <c r="C9" s="3">
        <v>45425</v>
      </c>
      <c r="D9" s="3">
        <f t="shared" si="5"/>
        <v>45425</v>
      </c>
      <c r="E9" s="3">
        <v>46188</v>
      </c>
      <c r="F9" s="3">
        <f t="shared" si="6"/>
        <v>46188</v>
      </c>
      <c r="G9" s="32"/>
      <c r="H9" s="3">
        <f t="shared" si="0"/>
        <v>46188</v>
      </c>
      <c r="I9" s="40">
        <f t="shared" si="1"/>
        <v>763</v>
      </c>
      <c r="J9" s="49" t="str">
        <f t="shared" si="2"/>
        <v>Long Project</v>
      </c>
      <c r="K9" s="42" t="str">
        <f t="shared" ca="1" si="3"/>
        <v>In Progress</v>
      </c>
      <c r="L9" s="57" t="str">
        <f t="shared" ca="1" si="4"/>
        <v>In Progress</v>
      </c>
    </row>
    <row r="10" spans="1:12" x14ac:dyDescent="0.3">
      <c r="A10" s="17" t="s">
        <v>204</v>
      </c>
      <c r="B10" s="2" t="s">
        <v>410</v>
      </c>
      <c r="C10" s="3">
        <v>45689</v>
      </c>
      <c r="D10" s="3">
        <f t="shared" si="5"/>
        <v>45689</v>
      </c>
      <c r="E10" s="3">
        <v>46142</v>
      </c>
      <c r="F10" s="3">
        <f t="shared" si="6"/>
        <v>46142</v>
      </c>
      <c r="G10" s="32"/>
      <c r="H10" s="3">
        <f t="shared" si="0"/>
        <v>46142</v>
      </c>
      <c r="I10" s="40">
        <f t="shared" si="1"/>
        <v>453</v>
      </c>
      <c r="J10" s="49" t="str">
        <f t="shared" si="2"/>
        <v>Long Project</v>
      </c>
      <c r="K10" s="42" t="str">
        <f t="shared" ca="1" si="3"/>
        <v>In Progress</v>
      </c>
      <c r="L10" s="57" t="str">
        <f t="shared" ca="1" si="4"/>
        <v>In Progress</v>
      </c>
    </row>
    <row r="11" spans="1:12" x14ac:dyDescent="0.3">
      <c r="A11" s="17" t="s">
        <v>104</v>
      </c>
      <c r="B11" s="2" t="s">
        <v>411</v>
      </c>
      <c r="C11" s="3">
        <v>45847</v>
      </c>
      <c r="D11" s="3">
        <f t="shared" si="5"/>
        <v>45847</v>
      </c>
      <c r="E11" s="3">
        <v>46249</v>
      </c>
      <c r="F11" s="3">
        <f t="shared" si="6"/>
        <v>46249</v>
      </c>
      <c r="G11" s="32"/>
      <c r="H11" s="3">
        <f t="shared" si="0"/>
        <v>46249</v>
      </c>
      <c r="I11" s="40">
        <f t="shared" si="1"/>
        <v>402</v>
      </c>
      <c r="J11" s="49" t="str">
        <f t="shared" si="2"/>
        <v>Long Project</v>
      </c>
      <c r="K11" s="42" t="str">
        <f t="shared" ca="1" si="3"/>
        <v>In Progress</v>
      </c>
      <c r="L11" s="57" t="str">
        <f t="shared" ca="1" si="4"/>
        <v>In Progress</v>
      </c>
    </row>
    <row r="12" spans="1:12" x14ac:dyDescent="0.3">
      <c r="A12" s="17" t="s">
        <v>43</v>
      </c>
      <c r="B12" s="2" t="s">
        <v>412</v>
      </c>
      <c r="C12" s="3">
        <v>45764</v>
      </c>
      <c r="D12" s="3">
        <f t="shared" si="5"/>
        <v>45764</v>
      </c>
      <c r="E12" s="3">
        <v>46128</v>
      </c>
      <c r="F12" s="3">
        <f t="shared" si="6"/>
        <v>46128</v>
      </c>
      <c r="G12" s="32"/>
      <c r="H12" s="3">
        <f t="shared" si="0"/>
        <v>46128</v>
      </c>
      <c r="I12" s="40">
        <f t="shared" si="1"/>
        <v>364</v>
      </c>
      <c r="J12" s="49" t="str">
        <f t="shared" si="2"/>
        <v>Long Project</v>
      </c>
      <c r="K12" s="42" t="str">
        <f t="shared" ca="1" si="3"/>
        <v>In Progress</v>
      </c>
      <c r="L12" s="57" t="str">
        <f t="shared" ca="1" si="4"/>
        <v>In Progress</v>
      </c>
    </row>
    <row r="13" spans="1:12" x14ac:dyDescent="0.3">
      <c r="A13" s="17" t="s">
        <v>37</v>
      </c>
      <c r="B13" s="2" t="s">
        <v>413</v>
      </c>
      <c r="C13" s="3">
        <v>45887</v>
      </c>
      <c r="D13" s="3">
        <f t="shared" si="5"/>
        <v>45887</v>
      </c>
      <c r="E13" s="3">
        <v>46251</v>
      </c>
      <c r="F13" s="3">
        <f t="shared" si="6"/>
        <v>46251</v>
      </c>
      <c r="G13" s="32"/>
      <c r="H13" s="3">
        <f t="shared" si="0"/>
        <v>46251</v>
      </c>
      <c r="I13" s="40">
        <f t="shared" si="1"/>
        <v>364</v>
      </c>
      <c r="J13" s="49" t="str">
        <f t="shared" si="2"/>
        <v>Long Project</v>
      </c>
      <c r="K13" s="42" t="str">
        <f t="shared" ca="1" si="3"/>
        <v>In Progress</v>
      </c>
      <c r="L13" s="57" t="str">
        <f t="shared" ca="1" si="4"/>
        <v>In Progress</v>
      </c>
    </row>
    <row r="14" spans="1:12" x14ac:dyDescent="0.3">
      <c r="A14" s="17" t="s">
        <v>50</v>
      </c>
      <c r="B14" s="2" t="s">
        <v>414</v>
      </c>
      <c r="C14" s="3">
        <v>45880</v>
      </c>
      <c r="D14" s="3">
        <f t="shared" si="5"/>
        <v>45880</v>
      </c>
      <c r="E14" s="3">
        <v>46290</v>
      </c>
      <c r="F14" s="3">
        <f t="shared" si="6"/>
        <v>46290</v>
      </c>
      <c r="G14" s="32"/>
      <c r="H14" s="3">
        <f t="shared" si="0"/>
        <v>46290</v>
      </c>
      <c r="I14" s="40">
        <f t="shared" si="1"/>
        <v>410</v>
      </c>
      <c r="J14" s="49" t="str">
        <f t="shared" si="2"/>
        <v>Long Project</v>
      </c>
      <c r="K14" s="42" t="str">
        <f t="shared" ca="1" si="3"/>
        <v>In Progress</v>
      </c>
      <c r="L14" s="57" t="str">
        <f t="shared" ca="1" si="4"/>
        <v>In Progress</v>
      </c>
    </row>
    <row r="15" spans="1:12" x14ac:dyDescent="0.3">
      <c r="A15" s="17" t="s">
        <v>274</v>
      </c>
      <c r="B15" s="2" t="s">
        <v>415</v>
      </c>
      <c r="C15" s="3">
        <v>45887</v>
      </c>
      <c r="D15" s="3">
        <f t="shared" si="5"/>
        <v>45887</v>
      </c>
      <c r="E15" s="3">
        <v>46332</v>
      </c>
      <c r="F15" s="3">
        <f t="shared" si="6"/>
        <v>46332</v>
      </c>
      <c r="G15" s="32"/>
      <c r="H15" s="3">
        <f t="shared" si="0"/>
        <v>46332</v>
      </c>
      <c r="I15" s="40">
        <f t="shared" si="1"/>
        <v>445</v>
      </c>
      <c r="J15" s="49" t="str">
        <f t="shared" si="2"/>
        <v>Long Project</v>
      </c>
      <c r="K15" s="42" t="str">
        <f t="shared" ca="1" si="3"/>
        <v>In Progress</v>
      </c>
      <c r="L15" s="57" t="str">
        <f t="shared" ca="1" si="4"/>
        <v>In Progress</v>
      </c>
    </row>
    <row r="16" spans="1:12" x14ac:dyDescent="0.3">
      <c r="A16" s="17" t="s">
        <v>123</v>
      </c>
      <c r="B16" s="2" t="s">
        <v>416</v>
      </c>
      <c r="C16" s="3">
        <v>45887</v>
      </c>
      <c r="D16" s="3">
        <f t="shared" si="5"/>
        <v>45887</v>
      </c>
      <c r="E16" s="3">
        <v>46297</v>
      </c>
      <c r="F16" s="3">
        <f t="shared" si="6"/>
        <v>46297</v>
      </c>
      <c r="G16" s="32"/>
      <c r="H16" s="3">
        <f t="shared" si="0"/>
        <v>46297</v>
      </c>
      <c r="I16" s="40">
        <f t="shared" si="1"/>
        <v>410</v>
      </c>
      <c r="J16" s="49" t="str">
        <f t="shared" si="2"/>
        <v>Long Project</v>
      </c>
      <c r="K16" s="42" t="str">
        <f t="shared" ca="1" si="3"/>
        <v>In Progress</v>
      </c>
      <c r="L16" s="57" t="str">
        <f t="shared" ca="1" si="4"/>
        <v>In Progress</v>
      </c>
    </row>
    <row r="17" spans="1:13" x14ac:dyDescent="0.3">
      <c r="A17" s="17" t="s">
        <v>69</v>
      </c>
      <c r="B17" s="2" t="s">
        <v>417</v>
      </c>
      <c r="C17" s="4">
        <v>45903</v>
      </c>
      <c r="D17" s="3">
        <f t="shared" si="5"/>
        <v>45903</v>
      </c>
      <c r="E17" s="3">
        <v>46337</v>
      </c>
      <c r="F17" s="3">
        <f t="shared" si="6"/>
        <v>46337</v>
      </c>
      <c r="G17" s="32"/>
      <c r="H17" s="3">
        <f t="shared" si="0"/>
        <v>46337</v>
      </c>
      <c r="I17" s="40">
        <f t="shared" si="1"/>
        <v>434</v>
      </c>
      <c r="J17" s="49" t="str">
        <f t="shared" si="2"/>
        <v>Long Project</v>
      </c>
      <c r="K17" s="42" t="str">
        <f t="shared" ca="1" si="3"/>
        <v>In Progress</v>
      </c>
      <c r="L17" s="57" t="str">
        <f t="shared" ca="1" si="4"/>
        <v>In Progress</v>
      </c>
    </row>
    <row r="18" spans="1:13" x14ac:dyDescent="0.3">
      <c r="A18" s="17" t="s">
        <v>209</v>
      </c>
      <c r="B18" s="2" t="s">
        <v>418</v>
      </c>
      <c r="C18" s="3">
        <v>45789</v>
      </c>
      <c r="D18" s="3">
        <f t="shared" si="5"/>
        <v>45789</v>
      </c>
      <c r="E18" s="3">
        <v>46234</v>
      </c>
      <c r="F18" s="3">
        <f t="shared" si="6"/>
        <v>46234</v>
      </c>
      <c r="G18" s="32"/>
      <c r="H18" s="3">
        <f t="shared" si="0"/>
        <v>46234</v>
      </c>
      <c r="I18" s="40">
        <f t="shared" si="1"/>
        <v>445</v>
      </c>
      <c r="J18" s="49" t="str">
        <f t="shared" si="2"/>
        <v>Long Project</v>
      </c>
      <c r="K18" s="42" t="str">
        <f t="shared" ca="1" si="3"/>
        <v>In Progress</v>
      </c>
      <c r="L18" s="57" t="str">
        <f t="shared" ca="1" si="4"/>
        <v>In Progress</v>
      </c>
    </row>
    <row r="19" spans="1:13" x14ac:dyDescent="0.3">
      <c r="A19" s="17" t="s">
        <v>221</v>
      </c>
      <c r="B19" s="2" t="s">
        <v>419</v>
      </c>
      <c r="C19" s="3">
        <v>45407</v>
      </c>
      <c r="D19" s="3">
        <f t="shared" si="5"/>
        <v>45407</v>
      </c>
      <c r="E19" s="3">
        <v>46081</v>
      </c>
      <c r="F19" s="3">
        <f t="shared" si="6"/>
        <v>46081</v>
      </c>
      <c r="G19" s="32"/>
      <c r="H19" s="3">
        <f t="shared" si="0"/>
        <v>46081</v>
      </c>
      <c r="I19" s="40">
        <f t="shared" si="1"/>
        <v>674</v>
      </c>
      <c r="J19" s="49" t="str">
        <f t="shared" si="2"/>
        <v>Long Project</v>
      </c>
      <c r="K19" s="42" t="str">
        <f t="shared" ca="1" si="3"/>
        <v>Completed</v>
      </c>
      <c r="L19" s="59" t="str">
        <f t="shared" ca="1" si="4"/>
        <v>On Time</v>
      </c>
    </row>
    <row r="20" spans="1:13" x14ac:dyDescent="0.3">
      <c r="A20" s="17" t="s">
        <v>230</v>
      </c>
      <c r="B20" s="2" t="s">
        <v>420</v>
      </c>
      <c r="C20" s="3">
        <v>45474</v>
      </c>
      <c r="D20" s="3">
        <f t="shared" si="5"/>
        <v>45474</v>
      </c>
      <c r="E20" s="3">
        <v>45992</v>
      </c>
      <c r="F20" s="3">
        <f t="shared" si="6"/>
        <v>45992</v>
      </c>
      <c r="G20" s="32"/>
      <c r="H20" s="3">
        <f t="shared" si="0"/>
        <v>45992</v>
      </c>
      <c r="I20" s="40">
        <f t="shared" si="1"/>
        <v>518</v>
      </c>
      <c r="J20" s="49" t="str">
        <f t="shared" si="2"/>
        <v>Long Project</v>
      </c>
      <c r="K20" s="42" t="str">
        <f t="shared" ca="1" si="3"/>
        <v>Completed</v>
      </c>
      <c r="L20" s="59" t="str">
        <f t="shared" ca="1" si="4"/>
        <v>On Time</v>
      </c>
    </row>
    <row r="21" spans="1:13" x14ac:dyDescent="0.3">
      <c r="A21" s="17" t="s">
        <v>14</v>
      </c>
      <c r="B21" s="2" t="s">
        <v>421</v>
      </c>
      <c r="C21" s="3">
        <v>45658</v>
      </c>
      <c r="D21" s="3">
        <f t="shared" si="5"/>
        <v>45658</v>
      </c>
      <c r="E21" s="3">
        <v>46053</v>
      </c>
      <c r="F21" s="3">
        <f t="shared" si="6"/>
        <v>46053</v>
      </c>
      <c r="G21" s="32"/>
      <c r="H21" s="3">
        <f t="shared" si="0"/>
        <v>46053</v>
      </c>
      <c r="I21" s="40">
        <f t="shared" si="1"/>
        <v>395</v>
      </c>
      <c r="J21" s="49" t="str">
        <f t="shared" si="2"/>
        <v>Long Project</v>
      </c>
      <c r="K21" s="42" t="str">
        <f t="shared" ca="1" si="3"/>
        <v>Completed</v>
      </c>
      <c r="L21" s="59" t="str">
        <f t="shared" ca="1" si="4"/>
        <v>On Time</v>
      </c>
    </row>
    <row r="22" spans="1:13" x14ac:dyDescent="0.3">
      <c r="A22" s="17" t="s">
        <v>126</v>
      </c>
      <c r="B22" s="2" t="s">
        <v>422</v>
      </c>
      <c r="C22" s="3">
        <v>45859</v>
      </c>
      <c r="D22" s="3">
        <f t="shared" si="5"/>
        <v>45859</v>
      </c>
      <c r="E22" s="3">
        <v>46316</v>
      </c>
      <c r="F22" s="3">
        <f t="shared" si="6"/>
        <v>46316</v>
      </c>
      <c r="G22" s="32"/>
      <c r="H22" s="3">
        <f t="shared" si="0"/>
        <v>46316</v>
      </c>
      <c r="I22" s="40">
        <f t="shared" si="1"/>
        <v>457</v>
      </c>
      <c r="J22" s="49" t="str">
        <f t="shared" si="2"/>
        <v>Long Project</v>
      </c>
      <c r="K22" s="42" t="str">
        <f t="shared" ca="1" si="3"/>
        <v>In Progress</v>
      </c>
      <c r="L22" s="57" t="str">
        <f t="shared" ca="1" si="4"/>
        <v>In Progress</v>
      </c>
    </row>
    <row r="23" spans="1:13" x14ac:dyDescent="0.3">
      <c r="A23" s="17" t="s">
        <v>224</v>
      </c>
      <c r="B23" s="2" t="s">
        <v>423</v>
      </c>
      <c r="C23" s="3">
        <v>45658</v>
      </c>
      <c r="D23" s="3">
        <f t="shared" si="5"/>
        <v>45658</v>
      </c>
      <c r="E23" s="3">
        <v>46043</v>
      </c>
      <c r="F23" s="3">
        <f t="shared" si="6"/>
        <v>46043</v>
      </c>
      <c r="G23" s="32"/>
      <c r="H23" s="3">
        <f t="shared" si="0"/>
        <v>46043</v>
      </c>
      <c r="I23" s="40">
        <f t="shared" si="1"/>
        <v>385</v>
      </c>
      <c r="J23" s="49" t="str">
        <f t="shared" si="2"/>
        <v>Long Project</v>
      </c>
      <c r="K23" s="42" t="str">
        <f t="shared" ca="1" si="3"/>
        <v>Completed</v>
      </c>
      <c r="L23" s="60" t="str">
        <f t="shared" ca="1" si="4"/>
        <v>On Time</v>
      </c>
    </row>
    <row r="24" spans="1:13" x14ac:dyDescent="0.3">
      <c r="A24" s="17" t="s">
        <v>46</v>
      </c>
      <c r="B24" s="2" t="s">
        <v>424</v>
      </c>
      <c r="C24" s="3">
        <v>45887</v>
      </c>
      <c r="D24" s="3">
        <f t="shared" si="5"/>
        <v>45887</v>
      </c>
      <c r="E24" s="3">
        <v>46297</v>
      </c>
      <c r="F24" s="3">
        <f t="shared" si="6"/>
        <v>46297</v>
      </c>
      <c r="G24" s="32"/>
      <c r="H24" s="3">
        <f t="shared" si="0"/>
        <v>46297</v>
      </c>
      <c r="I24" s="40">
        <f t="shared" si="1"/>
        <v>410</v>
      </c>
      <c r="J24" s="49" t="str">
        <f t="shared" si="2"/>
        <v>Long Project</v>
      </c>
      <c r="K24" s="42" t="str">
        <f t="shared" ca="1" si="3"/>
        <v>In Progress</v>
      </c>
      <c r="L24" s="57" t="str">
        <f t="shared" ca="1" si="4"/>
        <v>In Progress</v>
      </c>
    </row>
    <row r="25" spans="1:13" x14ac:dyDescent="0.3">
      <c r="A25" s="17" t="s">
        <v>227</v>
      </c>
      <c r="B25" s="2" t="s">
        <v>425</v>
      </c>
      <c r="C25" s="3">
        <v>45160</v>
      </c>
      <c r="D25" s="3">
        <f t="shared" si="5"/>
        <v>45160</v>
      </c>
      <c r="E25" s="3">
        <v>45991</v>
      </c>
      <c r="F25" s="3">
        <f t="shared" si="6"/>
        <v>45991</v>
      </c>
      <c r="G25" s="50">
        <v>46058</v>
      </c>
      <c r="H25" s="3">
        <f t="shared" si="0"/>
        <v>46058</v>
      </c>
      <c r="I25" s="40">
        <f t="shared" si="1"/>
        <v>898</v>
      </c>
      <c r="J25" s="49" t="str">
        <f t="shared" si="2"/>
        <v>Long Project</v>
      </c>
      <c r="K25" s="42" t="str">
        <f t="shared" ca="1" si="3"/>
        <v>Completed</v>
      </c>
      <c r="L25" s="61">
        <f t="shared" ca="1" si="4"/>
        <v>67</v>
      </c>
    </row>
    <row r="26" spans="1:13" x14ac:dyDescent="0.3">
      <c r="A26" s="17" t="s">
        <v>92</v>
      </c>
      <c r="B26" s="2" t="s">
        <v>426</v>
      </c>
      <c r="C26" s="3">
        <v>45908</v>
      </c>
      <c r="D26" s="3">
        <f t="shared" si="5"/>
        <v>45908</v>
      </c>
      <c r="E26" s="3">
        <v>46387</v>
      </c>
      <c r="F26" s="3">
        <f t="shared" si="6"/>
        <v>46387</v>
      </c>
      <c r="G26" s="32"/>
      <c r="H26" s="3">
        <f t="shared" si="0"/>
        <v>46387</v>
      </c>
      <c r="I26" s="40">
        <f t="shared" si="1"/>
        <v>479</v>
      </c>
      <c r="J26" s="49" t="str">
        <f t="shared" si="2"/>
        <v>Long Project</v>
      </c>
      <c r="K26" s="42" t="str">
        <f t="shared" ca="1" si="3"/>
        <v>In Progress</v>
      </c>
      <c r="L26" s="57" t="str">
        <f t="shared" ca="1" si="4"/>
        <v>In Progress</v>
      </c>
      <c r="M26" s="58"/>
    </row>
    <row r="27" spans="1:13" x14ac:dyDescent="0.3">
      <c r="A27" s="17" t="s">
        <v>180</v>
      </c>
      <c r="B27" s="2" t="s">
        <v>427</v>
      </c>
      <c r="C27" s="3">
        <v>45922</v>
      </c>
      <c r="D27" s="3">
        <f t="shared" si="5"/>
        <v>45922</v>
      </c>
      <c r="E27" s="3">
        <v>45996</v>
      </c>
      <c r="F27" s="3">
        <f t="shared" si="6"/>
        <v>45996</v>
      </c>
      <c r="G27" s="32">
        <v>46234</v>
      </c>
      <c r="H27" s="3">
        <f t="shared" si="0"/>
        <v>46234</v>
      </c>
      <c r="I27" s="40">
        <f t="shared" si="1"/>
        <v>312</v>
      </c>
      <c r="J27" s="49" t="str">
        <f t="shared" si="2"/>
        <v>Long Project</v>
      </c>
      <c r="K27" s="42" t="str">
        <f t="shared" ca="1" si="3"/>
        <v>In Progress</v>
      </c>
      <c r="L27" s="57" t="str">
        <f t="shared" ca="1" si="4"/>
        <v>In Progress</v>
      </c>
    </row>
    <row r="28" spans="1:13" x14ac:dyDescent="0.3">
      <c r="A28" s="17" t="s">
        <v>257</v>
      </c>
      <c r="B28" s="2" t="s">
        <v>428</v>
      </c>
      <c r="C28" s="3">
        <v>45981</v>
      </c>
      <c r="D28" s="3">
        <f t="shared" si="5"/>
        <v>45981</v>
      </c>
      <c r="E28" s="3">
        <v>46203</v>
      </c>
      <c r="F28" s="3">
        <f t="shared" si="6"/>
        <v>46203</v>
      </c>
      <c r="G28" s="32"/>
      <c r="H28" s="3">
        <f t="shared" si="0"/>
        <v>46203</v>
      </c>
      <c r="I28" s="40">
        <f t="shared" si="1"/>
        <v>222</v>
      </c>
      <c r="J28" s="49" t="str">
        <f t="shared" si="2"/>
        <v>Long Project</v>
      </c>
      <c r="K28" s="42" t="str">
        <f t="shared" ca="1" si="3"/>
        <v>In Progress</v>
      </c>
      <c r="L28" s="57" t="str">
        <f t="shared" ca="1" si="4"/>
        <v>In Progress</v>
      </c>
    </row>
    <row r="29" spans="1:13" x14ac:dyDescent="0.3">
      <c r="A29" s="17" t="s">
        <v>87</v>
      </c>
      <c r="B29" s="2" t="s">
        <v>429</v>
      </c>
      <c r="C29" s="3">
        <v>45931</v>
      </c>
      <c r="D29" s="3">
        <f t="shared" si="5"/>
        <v>45931</v>
      </c>
      <c r="E29" s="3">
        <v>46023</v>
      </c>
      <c r="F29" s="3">
        <f t="shared" si="6"/>
        <v>46023</v>
      </c>
      <c r="G29" s="32">
        <v>46080</v>
      </c>
      <c r="H29" s="3">
        <f t="shared" si="0"/>
        <v>46080</v>
      </c>
      <c r="I29" s="40">
        <f t="shared" si="1"/>
        <v>149</v>
      </c>
      <c r="J29" s="49" t="str">
        <f t="shared" si="2"/>
        <v>Long Project</v>
      </c>
      <c r="K29" s="42" t="str">
        <f t="shared" ca="1" si="3"/>
        <v>Completed</v>
      </c>
      <c r="L29" s="61">
        <f t="shared" ca="1" si="4"/>
        <v>57</v>
      </c>
    </row>
    <row r="30" spans="1:13" x14ac:dyDescent="0.3">
      <c r="A30" s="17" t="s">
        <v>20</v>
      </c>
      <c r="B30" s="2" t="s">
        <v>430</v>
      </c>
      <c r="C30" s="3">
        <v>46030</v>
      </c>
      <c r="D30" s="3">
        <f t="shared" si="5"/>
        <v>46030</v>
      </c>
      <c r="E30" s="3">
        <v>46115</v>
      </c>
      <c r="F30" s="3">
        <f t="shared" si="6"/>
        <v>46115</v>
      </c>
      <c r="G30" s="32">
        <v>46136</v>
      </c>
      <c r="H30" s="3">
        <f t="shared" si="0"/>
        <v>46136</v>
      </c>
      <c r="I30" s="40">
        <f t="shared" si="1"/>
        <v>106</v>
      </c>
      <c r="J30" s="49" t="str">
        <f t="shared" si="2"/>
        <v>Long Project</v>
      </c>
      <c r="K30" s="42" t="str">
        <f t="shared" ca="1" si="3"/>
        <v>In Progress</v>
      </c>
      <c r="L30" s="57" t="str">
        <f t="shared" ca="1" si="4"/>
        <v>In Progress</v>
      </c>
    </row>
    <row r="31" spans="1:13" x14ac:dyDescent="0.3">
      <c r="A31" s="17" t="s">
        <v>59</v>
      </c>
      <c r="B31" s="2" t="s">
        <v>431</v>
      </c>
      <c r="C31" s="3">
        <v>45908</v>
      </c>
      <c r="D31" s="3">
        <f t="shared" si="5"/>
        <v>45908</v>
      </c>
      <c r="E31" s="3">
        <v>46022</v>
      </c>
      <c r="F31" s="3">
        <f t="shared" si="6"/>
        <v>46022</v>
      </c>
      <c r="G31" s="32">
        <v>46066</v>
      </c>
      <c r="H31" s="3">
        <f t="shared" si="0"/>
        <v>46066</v>
      </c>
      <c r="I31" s="40">
        <f t="shared" si="1"/>
        <v>158</v>
      </c>
      <c r="J31" s="49" t="str">
        <f t="shared" si="2"/>
        <v>Long Project</v>
      </c>
      <c r="K31" s="42" t="str">
        <f t="shared" ca="1" si="3"/>
        <v>Completed</v>
      </c>
      <c r="L31" s="61">
        <f t="shared" ca="1" si="4"/>
        <v>44</v>
      </c>
    </row>
    <row r="32" spans="1:13" x14ac:dyDescent="0.3">
      <c r="A32" s="17" t="s">
        <v>173</v>
      </c>
      <c r="B32" s="2" t="s">
        <v>432</v>
      </c>
      <c r="C32" s="3">
        <v>45748</v>
      </c>
      <c r="D32" s="3">
        <f t="shared" si="5"/>
        <v>45748</v>
      </c>
      <c r="E32" s="3">
        <v>45838</v>
      </c>
      <c r="F32" s="3">
        <f t="shared" si="6"/>
        <v>45838</v>
      </c>
      <c r="G32" s="32"/>
      <c r="H32" s="3">
        <f t="shared" si="0"/>
        <v>45838</v>
      </c>
      <c r="I32" s="40">
        <f t="shared" si="1"/>
        <v>90</v>
      </c>
      <c r="J32" s="49" t="str">
        <f t="shared" si="2"/>
        <v>Normal</v>
      </c>
      <c r="K32" s="42" t="str">
        <f t="shared" ca="1" si="3"/>
        <v>Completed</v>
      </c>
      <c r="L32" s="60" t="str">
        <f t="shared" ca="1" si="4"/>
        <v>On Time</v>
      </c>
      <c r="M32" s="58"/>
    </row>
    <row r="33" spans="1:12" x14ac:dyDescent="0.3">
      <c r="A33" s="17" t="s">
        <v>284</v>
      </c>
      <c r="B33" s="2" t="s">
        <v>433</v>
      </c>
      <c r="C33" s="3">
        <v>45748</v>
      </c>
      <c r="D33" s="3">
        <f t="shared" si="5"/>
        <v>45748</v>
      </c>
      <c r="E33" s="3">
        <v>46265</v>
      </c>
      <c r="F33" s="3">
        <f t="shared" si="6"/>
        <v>46265</v>
      </c>
      <c r="G33" s="32"/>
      <c r="H33" s="3">
        <f t="shared" si="0"/>
        <v>46265</v>
      </c>
      <c r="I33" s="40">
        <f t="shared" si="1"/>
        <v>517</v>
      </c>
      <c r="J33" s="49" t="str">
        <f t="shared" si="2"/>
        <v>Long Project</v>
      </c>
      <c r="K33" s="42" t="str">
        <f t="shared" ca="1" si="3"/>
        <v>In Progress</v>
      </c>
      <c r="L33" s="57" t="str">
        <f t="shared" ca="1" si="4"/>
        <v>In Progress</v>
      </c>
    </row>
    <row r="34" spans="1:12" x14ac:dyDescent="0.3">
      <c r="A34" s="17" t="s">
        <v>66</v>
      </c>
      <c r="B34" s="2" t="s">
        <v>434</v>
      </c>
      <c r="C34" s="3">
        <v>45748</v>
      </c>
      <c r="D34" s="3">
        <f t="shared" si="5"/>
        <v>45748</v>
      </c>
      <c r="E34" s="3">
        <v>46276</v>
      </c>
      <c r="F34" s="3">
        <f t="shared" si="6"/>
        <v>46276</v>
      </c>
      <c r="G34" s="32"/>
      <c r="H34" s="3">
        <f t="shared" ref="H34:H65" si="7">IF(G34&lt;&gt;"",G34,F34)</f>
        <v>46276</v>
      </c>
      <c r="I34" s="40">
        <f t="shared" ref="I34:I65" si="8">IF(OR(NOT(ISNUMBER(C34)),NOT(ISNUMBER(H34))),"",H34-C34)</f>
        <v>528</v>
      </c>
      <c r="J34" s="49" t="str">
        <f t="shared" ref="J34:J65" si="9">IF(I34&gt;90,"Long Project","Normal")</f>
        <v>Long Project</v>
      </c>
      <c r="K34" s="42" t="str">
        <f t="shared" ref="K34:K65" ca="1" si="10">IF(OR(H34="",NOT(ISNUMBER(H34))),
   "Planned/In Progress",
   IF(H34&lt;TODAY(),"Completed","In Progress"))</f>
        <v>In Progress</v>
      </c>
      <c r="L34" s="57" t="str">
        <f t="shared" ref="L34:L65" ca="1" si="11">IF(OR(NOT(ISNUMBER(F34)),NOT(ISNUMBER(H34))),
   "Missing",
   IF(H34&lt;TODAY(),
      IF(H34&gt;F34,H34-F34,"On Time"),
      "In Progress"))</f>
        <v>In Progress</v>
      </c>
    </row>
    <row r="35" spans="1:12" x14ac:dyDescent="0.3">
      <c r="A35" s="17" t="s">
        <v>141</v>
      </c>
      <c r="B35" s="2" t="s">
        <v>435</v>
      </c>
      <c r="C35" s="3">
        <v>45748</v>
      </c>
      <c r="D35" s="3">
        <f t="shared" si="5"/>
        <v>45748</v>
      </c>
      <c r="E35" s="3">
        <v>46112</v>
      </c>
      <c r="F35" s="3">
        <f t="shared" si="6"/>
        <v>46112</v>
      </c>
      <c r="G35" s="32"/>
      <c r="H35" s="3">
        <f t="shared" si="7"/>
        <v>46112</v>
      </c>
      <c r="I35" s="40">
        <f t="shared" si="8"/>
        <v>364</v>
      </c>
      <c r="J35" s="49" t="str">
        <f t="shared" si="9"/>
        <v>Long Project</v>
      </c>
      <c r="K35" s="42" t="str">
        <f t="shared" ca="1" si="10"/>
        <v>Completed</v>
      </c>
      <c r="L35" s="60" t="str">
        <f t="shared" ca="1" si="11"/>
        <v>On Time</v>
      </c>
    </row>
    <row r="36" spans="1:12" x14ac:dyDescent="0.3">
      <c r="A36" s="17" t="s">
        <v>337</v>
      </c>
      <c r="B36" s="2" t="s">
        <v>436</v>
      </c>
      <c r="C36" s="3">
        <v>45748</v>
      </c>
      <c r="D36" s="3">
        <f t="shared" si="5"/>
        <v>45748</v>
      </c>
      <c r="E36" s="3">
        <v>46170</v>
      </c>
      <c r="F36" s="3">
        <f t="shared" si="6"/>
        <v>46170</v>
      </c>
      <c r="G36" s="32"/>
      <c r="H36" s="3">
        <f t="shared" si="7"/>
        <v>46170</v>
      </c>
      <c r="I36" s="40">
        <f t="shared" si="8"/>
        <v>422</v>
      </c>
      <c r="J36" s="49" t="str">
        <f t="shared" si="9"/>
        <v>Long Project</v>
      </c>
      <c r="K36" s="42" t="str">
        <f t="shared" ca="1" si="10"/>
        <v>In Progress</v>
      </c>
      <c r="L36" s="57" t="str">
        <f t="shared" ca="1" si="11"/>
        <v>In Progress</v>
      </c>
    </row>
    <row r="37" spans="1:12" x14ac:dyDescent="0.3">
      <c r="A37" s="17" t="s">
        <v>100</v>
      </c>
      <c r="B37" s="2" t="s">
        <v>437</v>
      </c>
      <c r="C37" s="3">
        <v>45748</v>
      </c>
      <c r="D37" s="3">
        <f t="shared" si="5"/>
        <v>45748</v>
      </c>
      <c r="E37" s="3">
        <v>46324</v>
      </c>
      <c r="F37" s="3">
        <f t="shared" si="6"/>
        <v>46324</v>
      </c>
      <c r="G37" s="32"/>
      <c r="H37" s="3">
        <f t="shared" si="7"/>
        <v>46324</v>
      </c>
      <c r="I37" s="40">
        <f t="shared" si="8"/>
        <v>576</v>
      </c>
      <c r="J37" s="49" t="str">
        <f t="shared" si="9"/>
        <v>Long Project</v>
      </c>
      <c r="K37" s="42" t="str">
        <f t="shared" ca="1" si="10"/>
        <v>In Progress</v>
      </c>
      <c r="L37" s="57" t="str">
        <f t="shared" ca="1" si="11"/>
        <v>In Progress</v>
      </c>
    </row>
    <row r="38" spans="1:12" x14ac:dyDescent="0.3">
      <c r="A38" s="17" t="s">
        <v>248</v>
      </c>
      <c r="B38" s="2" t="s">
        <v>438</v>
      </c>
      <c r="C38" s="3">
        <v>45748</v>
      </c>
      <c r="D38" s="3">
        <f t="shared" si="5"/>
        <v>45748</v>
      </c>
      <c r="E38" s="3">
        <v>46387</v>
      </c>
      <c r="F38" s="3">
        <f t="shared" si="6"/>
        <v>46387</v>
      </c>
      <c r="G38" s="32"/>
      <c r="H38" s="3">
        <f t="shared" si="7"/>
        <v>46387</v>
      </c>
      <c r="I38" s="40">
        <f t="shared" si="8"/>
        <v>639</v>
      </c>
      <c r="J38" s="49" t="str">
        <f t="shared" si="9"/>
        <v>Long Project</v>
      </c>
      <c r="K38" s="42" t="str">
        <f t="shared" ca="1" si="10"/>
        <v>In Progress</v>
      </c>
      <c r="L38" s="57" t="str">
        <f t="shared" ca="1" si="11"/>
        <v>In Progress</v>
      </c>
    </row>
    <row r="39" spans="1:12" x14ac:dyDescent="0.3">
      <c r="A39" s="17" t="s">
        <v>251</v>
      </c>
      <c r="B39" s="2" t="s">
        <v>439</v>
      </c>
      <c r="C39" s="3">
        <v>45936</v>
      </c>
      <c r="D39" s="3">
        <f t="shared" si="5"/>
        <v>45936</v>
      </c>
      <c r="E39" s="3">
        <v>46038</v>
      </c>
      <c r="F39" s="3">
        <f t="shared" si="6"/>
        <v>46038</v>
      </c>
      <c r="G39" s="32"/>
      <c r="H39" s="3">
        <f t="shared" si="7"/>
        <v>46038</v>
      </c>
      <c r="I39" s="40">
        <f t="shared" si="8"/>
        <v>102</v>
      </c>
      <c r="J39" s="49" t="str">
        <f t="shared" si="9"/>
        <v>Long Project</v>
      </c>
      <c r="K39" s="42" t="str">
        <f t="shared" ca="1" si="10"/>
        <v>Completed</v>
      </c>
      <c r="L39" s="60" t="str">
        <f t="shared" ca="1" si="11"/>
        <v>On Time</v>
      </c>
    </row>
    <row r="40" spans="1:12" x14ac:dyDescent="0.3">
      <c r="A40" s="17" t="s">
        <v>371</v>
      </c>
      <c r="B40" s="2" t="s">
        <v>440</v>
      </c>
      <c r="C40" s="3">
        <v>45929</v>
      </c>
      <c r="D40" s="3">
        <f t="shared" si="5"/>
        <v>45929</v>
      </c>
      <c r="E40" s="3">
        <v>46310</v>
      </c>
      <c r="F40" s="3">
        <f t="shared" si="6"/>
        <v>46310</v>
      </c>
      <c r="G40" s="32"/>
      <c r="H40" s="3">
        <f t="shared" si="7"/>
        <v>46310</v>
      </c>
      <c r="I40" s="40">
        <f t="shared" si="8"/>
        <v>381</v>
      </c>
      <c r="J40" s="49" t="str">
        <f t="shared" si="9"/>
        <v>Long Project</v>
      </c>
      <c r="K40" s="42" t="str">
        <f t="shared" ca="1" si="10"/>
        <v>In Progress</v>
      </c>
      <c r="L40" s="57" t="str">
        <f t="shared" ca="1" si="11"/>
        <v>In Progress</v>
      </c>
    </row>
    <row r="41" spans="1:12" x14ac:dyDescent="0.3">
      <c r="A41" s="17" t="s">
        <v>32</v>
      </c>
      <c r="B41" s="2" t="s">
        <v>441</v>
      </c>
      <c r="C41" s="3">
        <v>45929</v>
      </c>
      <c r="D41" s="3">
        <f t="shared" si="5"/>
        <v>45929</v>
      </c>
      <c r="E41" s="3">
        <v>46387</v>
      </c>
      <c r="F41" s="3">
        <f t="shared" si="6"/>
        <v>46387</v>
      </c>
      <c r="G41" s="32"/>
      <c r="H41" s="3">
        <f t="shared" si="7"/>
        <v>46387</v>
      </c>
      <c r="I41" s="40">
        <f t="shared" si="8"/>
        <v>458</v>
      </c>
      <c r="J41" s="49" t="str">
        <f t="shared" si="9"/>
        <v>Long Project</v>
      </c>
      <c r="K41" s="42" t="str">
        <f t="shared" ca="1" si="10"/>
        <v>In Progress</v>
      </c>
      <c r="L41" s="57" t="str">
        <f t="shared" ca="1" si="11"/>
        <v>In Progress</v>
      </c>
    </row>
    <row r="42" spans="1:12" x14ac:dyDescent="0.3">
      <c r="A42" s="17" t="s">
        <v>138</v>
      </c>
      <c r="B42" s="2" t="s">
        <v>442</v>
      </c>
      <c r="C42" s="3">
        <v>45929</v>
      </c>
      <c r="D42" s="3">
        <f t="shared" si="5"/>
        <v>45929</v>
      </c>
      <c r="E42" s="3">
        <v>46387</v>
      </c>
      <c r="F42" s="3">
        <f t="shared" si="6"/>
        <v>46387</v>
      </c>
      <c r="G42" s="32"/>
      <c r="H42" s="3">
        <f t="shared" si="7"/>
        <v>46387</v>
      </c>
      <c r="I42" s="40">
        <f t="shared" si="8"/>
        <v>458</v>
      </c>
      <c r="J42" s="49" t="str">
        <f t="shared" si="9"/>
        <v>Long Project</v>
      </c>
      <c r="K42" s="42" t="str">
        <f t="shared" ca="1" si="10"/>
        <v>In Progress</v>
      </c>
      <c r="L42" s="57" t="str">
        <f t="shared" ca="1" si="11"/>
        <v>In Progress</v>
      </c>
    </row>
    <row r="43" spans="1:12" x14ac:dyDescent="0.3">
      <c r="A43" s="17" t="s">
        <v>264</v>
      </c>
      <c r="B43" s="2" t="s">
        <v>443</v>
      </c>
      <c r="C43" s="3">
        <v>45915</v>
      </c>
      <c r="D43" s="3">
        <f t="shared" si="5"/>
        <v>45915</v>
      </c>
      <c r="E43" s="3">
        <v>46081</v>
      </c>
      <c r="F43" s="3">
        <f t="shared" si="6"/>
        <v>46081</v>
      </c>
      <c r="G43" s="33"/>
      <c r="H43" s="3">
        <f t="shared" si="7"/>
        <v>46081</v>
      </c>
      <c r="I43" s="40">
        <f t="shared" si="8"/>
        <v>166</v>
      </c>
      <c r="J43" s="49" t="str">
        <f t="shared" si="9"/>
        <v>Long Project</v>
      </c>
      <c r="K43" s="42" t="str">
        <f t="shared" ca="1" si="10"/>
        <v>Completed</v>
      </c>
      <c r="L43" s="60" t="str">
        <f t="shared" ca="1" si="11"/>
        <v>On Time</v>
      </c>
    </row>
    <row r="44" spans="1:12" x14ac:dyDescent="0.3">
      <c r="A44" s="17" t="s">
        <v>301</v>
      </c>
      <c r="B44" s="2" t="s">
        <v>444</v>
      </c>
      <c r="C44" s="3">
        <v>45915</v>
      </c>
      <c r="D44" s="3">
        <f t="shared" si="5"/>
        <v>45915</v>
      </c>
      <c r="E44" s="3">
        <v>46387</v>
      </c>
      <c r="F44" s="3">
        <f t="shared" si="6"/>
        <v>46387</v>
      </c>
      <c r="G44" s="32"/>
      <c r="H44" s="3">
        <f t="shared" si="7"/>
        <v>46387</v>
      </c>
      <c r="I44" s="40">
        <f t="shared" si="8"/>
        <v>472</v>
      </c>
      <c r="J44" s="49" t="str">
        <f t="shared" si="9"/>
        <v>Long Project</v>
      </c>
      <c r="K44" s="42" t="str">
        <f t="shared" ca="1" si="10"/>
        <v>In Progress</v>
      </c>
      <c r="L44" s="57" t="str">
        <f t="shared" ca="1" si="11"/>
        <v>In Progress</v>
      </c>
    </row>
    <row r="45" spans="1:12" x14ac:dyDescent="0.3">
      <c r="A45" s="17" t="s">
        <v>360</v>
      </c>
      <c r="B45" s="2" t="s">
        <v>445</v>
      </c>
      <c r="C45" s="3">
        <v>45988</v>
      </c>
      <c r="D45" s="3">
        <f t="shared" si="5"/>
        <v>45988</v>
      </c>
      <c r="E45" s="4">
        <v>46352</v>
      </c>
      <c r="F45" s="3">
        <f t="shared" si="6"/>
        <v>46352</v>
      </c>
      <c r="G45" s="32"/>
      <c r="H45" s="3">
        <f t="shared" si="7"/>
        <v>46352</v>
      </c>
      <c r="I45" s="40">
        <f t="shared" si="8"/>
        <v>364</v>
      </c>
      <c r="J45" s="49" t="str">
        <f t="shared" si="9"/>
        <v>Long Project</v>
      </c>
      <c r="K45" s="42" t="str">
        <f t="shared" ca="1" si="10"/>
        <v>In Progress</v>
      </c>
      <c r="L45" s="57" t="str">
        <f t="shared" ca="1" si="11"/>
        <v>In Progress</v>
      </c>
    </row>
    <row r="46" spans="1:12" x14ac:dyDescent="0.3">
      <c r="A46" s="17" t="s">
        <v>62</v>
      </c>
      <c r="B46" s="2" t="s">
        <v>446</v>
      </c>
      <c r="C46" s="3">
        <v>46034</v>
      </c>
      <c r="D46" s="3">
        <f t="shared" si="5"/>
        <v>46034</v>
      </c>
      <c r="E46" s="3">
        <v>46387</v>
      </c>
      <c r="F46" s="3">
        <f t="shared" si="6"/>
        <v>46387</v>
      </c>
      <c r="G46" s="32"/>
      <c r="H46" s="3">
        <f t="shared" si="7"/>
        <v>46387</v>
      </c>
      <c r="I46" s="40">
        <f t="shared" si="8"/>
        <v>353</v>
      </c>
      <c r="J46" s="49" t="str">
        <f t="shared" si="9"/>
        <v>Long Project</v>
      </c>
      <c r="K46" s="42" t="str">
        <f t="shared" ca="1" si="10"/>
        <v>In Progress</v>
      </c>
      <c r="L46" s="57" t="str">
        <f t="shared" ca="1" si="11"/>
        <v>In Progress</v>
      </c>
    </row>
    <row r="47" spans="1:12" x14ac:dyDescent="0.3">
      <c r="A47" s="17" t="s">
        <v>342</v>
      </c>
      <c r="B47" s="2" t="s">
        <v>447</v>
      </c>
      <c r="C47" s="3">
        <v>46076</v>
      </c>
      <c r="D47" s="3">
        <f t="shared" si="5"/>
        <v>46076</v>
      </c>
      <c r="E47" s="3">
        <v>46234</v>
      </c>
      <c r="F47" s="3">
        <f t="shared" si="6"/>
        <v>46234</v>
      </c>
      <c r="G47" s="32"/>
      <c r="H47" s="3">
        <f t="shared" si="7"/>
        <v>46234</v>
      </c>
      <c r="I47" s="40">
        <f t="shared" si="8"/>
        <v>158</v>
      </c>
      <c r="J47" s="49" t="str">
        <f t="shared" si="9"/>
        <v>Long Project</v>
      </c>
      <c r="K47" s="42" t="str">
        <f t="shared" ca="1" si="10"/>
        <v>In Progress</v>
      </c>
      <c r="L47" s="57" t="str">
        <f t="shared" ca="1" si="11"/>
        <v>In Progress</v>
      </c>
    </row>
    <row r="48" spans="1:12" x14ac:dyDescent="0.3">
      <c r="A48" s="17" t="s">
        <v>368</v>
      </c>
      <c r="B48" s="2" t="s">
        <v>448</v>
      </c>
      <c r="C48" s="3">
        <v>45950</v>
      </c>
      <c r="D48" s="3">
        <f t="shared" si="5"/>
        <v>45950</v>
      </c>
      <c r="E48" s="3">
        <v>46038</v>
      </c>
      <c r="F48" s="3">
        <f t="shared" si="6"/>
        <v>46038</v>
      </c>
      <c r="G48" s="32">
        <v>46059</v>
      </c>
      <c r="H48" s="3">
        <f t="shared" si="7"/>
        <v>46059</v>
      </c>
      <c r="I48" s="40">
        <f t="shared" si="8"/>
        <v>109</v>
      </c>
      <c r="J48" s="49" t="str">
        <f t="shared" si="9"/>
        <v>Long Project</v>
      </c>
      <c r="K48" s="42" t="str">
        <f t="shared" ca="1" si="10"/>
        <v>Completed</v>
      </c>
      <c r="L48" s="61">
        <f t="shared" ca="1" si="11"/>
        <v>21</v>
      </c>
    </row>
    <row r="49" spans="1:12" x14ac:dyDescent="0.3">
      <c r="A49" s="17" t="s">
        <v>281</v>
      </c>
      <c r="B49" s="2" t="s">
        <v>449</v>
      </c>
      <c r="C49" s="3">
        <v>46023</v>
      </c>
      <c r="D49" s="3">
        <f t="shared" si="5"/>
        <v>46023</v>
      </c>
      <c r="E49" s="5">
        <v>46171</v>
      </c>
      <c r="F49" s="3">
        <f t="shared" si="6"/>
        <v>46171</v>
      </c>
      <c r="G49" s="32"/>
      <c r="H49" s="3">
        <f t="shared" si="7"/>
        <v>46171</v>
      </c>
      <c r="I49" s="40">
        <f t="shared" si="8"/>
        <v>148</v>
      </c>
      <c r="J49" s="49" t="str">
        <f t="shared" si="9"/>
        <v>Long Project</v>
      </c>
      <c r="K49" s="42" t="str">
        <f t="shared" ca="1" si="10"/>
        <v>In Progress</v>
      </c>
      <c r="L49" s="57" t="str">
        <f t="shared" ca="1" si="11"/>
        <v>In Progress</v>
      </c>
    </row>
    <row r="50" spans="1:12" x14ac:dyDescent="0.3">
      <c r="A50" s="17" t="s">
        <v>333</v>
      </c>
      <c r="B50" s="2" t="s">
        <v>450</v>
      </c>
      <c r="C50" s="3">
        <v>45912</v>
      </c>
      <c r="D50" s="3">
        <f t="shared" si="5"/>
        <v>45912</v>
      </c>
      <c r="E50" s="3">
        <v>46326</v>
      </c>
      <c r="F50" s="3">
        <f t="shared" si="6"/>
        <v>46326</v>
      </c>
      <c r="G50" s="32"/>
      <c r="H50" s="3">
        <f t="shared" si="7"/>
        <v>46326</v>
      </c>
      <c r="I50" s="40">
        <f t="shared" si="8"/>
        <v>414</v>
      </c>
      <c r="J50" s="49" t="str">
        <f t="shared" si="9"/>
        <v>Long Project</v>
      </c>
      <c r="K50" s="42" t="str">
        <f t="shared" ca="1" si="10"/>
        <v>In Progress</v>
      </c>
      <c r="L50" s="57" t="str">
        <f t="shared" ca="1" si="11"/>
        <v>In Progress</v>
      </c>
    </row>
    <row r="51" spans="1:12" x14ac:dyDescent="0.3">
      <c r="A51" s="17" t="s">
        <v>131</v>
      </c>
      <c r="B51" s="2" t="s">
        <v>451</v>
      </c>
      <c r="C51" s="3">
        <v>45945</v>
      </c>
      <c r="D51" s="3">
        <f t="shared" si="5"/>
        <v>45945</v>
      </c>
      <c r="E51" s="3">
        <v>46365</v>
      </c>
      <c r="F51" s="3">
        <f t="shared" si="6"/>
        <v>46365</v>
      </c>
      <c r="G51" s="32">
        <v>46037</v>
      </c>
      <c r="H51" s="3">
        <f t="shared" si="7"/>
        <v>46037</v>
      </c>
      <c r="I51" s="40">
        <f t="shared" si="8"/>
        <v>92</v>
      </c>
      <c r="J51" s="49" t="str">
        <f t="shared" si="9"/>
        <v>Long Project</v>
      </c>
      <c r="K51" s="42" t="str">
        <f t="shared" ca="1" si="10"/>
        <v>Completed</v>
      </c>
      <c r="L51" s="60" t="str">
        <f t="shared" ca="1" si="11"/>
        <v>On Time</v>
      </c>
    </row>
    <row r="52" spans="1:12" x14ac:dyDescent="0.3">
      <c r="A52" s="35" t="s">
        <v>51</v>
      </c>
      <c r="B52" s="1" t="s">
        <v>452</v>
      </c>
      <c r="C52" s="3">
        <v>45931</v>
      </c>
      <c r="D52" s="3">
        <f t="shared" si="5"/>
        <v>45931</v>
      </c>
      <c r="E52" s="3">
        <v>46022</v>
      </c>
      <c r="F52" s="3">
        <f t="shared" si="6"/>
        <v>46022</v>
      </c>
      <c r="G52" s="32">
        <v>46112</v>
      </c>
      <c r="H52" s="3">
        <f t="shared" si="7"/>
        <v>46112</v>
      </c>
      <c r="I52" s="40">
        <f t="shared" si="8"/>
        <v>181</v>
      </c>
      <c r="J52" s="49" t="str">
        <f t="shared" si="9"/>
        <v>Long Project</v>
      </c>
      <c r="K52" s="42" t="str">
        <f t="shared" ca="1" si="10"/>
        <v>Completed</v>
      </c>
      <c r="L52" s="61">
        <f t="shared" ca="1" si="11"/>
        <v>90</v>
      </c>
    </row>
    <row r="53" spans="1:12" x14ac:dyDescent="0.3">
      <c r="A53" s="35" t="s">
        <v>205</v>
      </c>
      <c r="B53" s="1" t="s">
        <v>453</v>
      </c>
      <c r="C53" s="3">
        <v>45963</v>
      </c>
      <c r="D53" s="3">
        <f t="shared" si="5"/>
        <v>45963</v>
      </c>
      <c r="E53" s="3">
        <v>46129</v>
      </c>
      <c r="F53" s="3">
        <f t="shared" si="6"/>
        <v>46129</v>
      </c>
      <c r="G53" s="32"/>
      <c r="H53" s="3">
        <f t="shared" si="7"/>
        <v>46129</v>
      </c>
      <c r="I53" s="40">
        <f t="shared" si="8"/>
        <v>166</v>
      </c>
      <c r="J53" s="49" t="str">
        <f t="shared" si="9"/>
        <v>Long Project</v>
      </c>
      <c r="K53" s="42" t="str">
        <f t="shared" ca="1" si="10"/>
        <v>In Progress</v>
      </c>
      <c r="L53" s="57" t="str">
        <f t="shared" ca="1" si="11"/>
        <v>In Progress</v>
      </c>
    </row>
    <row r="54" spans="1:12" x14ac:dyDescent="0.3">
      <c r="A54" s="35" t="s">
        <v>33</v>
      </c>
      <c r="B54" s="1" t="s">
        <v>454</v>
      </c>
      <c r="C54" s="3">
        <v>45793</v>
      </c>
      <c r="D54" s="3">
        <f t="shared" si="5"/>
        <v>45793</v>
      </c>
      <c r="E54" s="3">
        <v>46242</v>
      </c>
      <c r="F54" s="3">
        <f t="shared" si="6"/>
        <v>46242</v>
      </c>
      <c r="G54" s="32"/>
      <c r="H54" s="3">
        <f t="shared" si="7"/>
        <v>46242</v>
      </c>
      <c r="I54" s="40">
        <f t="shared" si="8"/>
        <v>449</v>
      </c>
      <c r="J54" s="49" t="str">
        <f t="shared" si="9"/>
        <v>Long Project</v>
      </c>
      <c r="K54" s="42" t="str">
        <f t="shared" ca="1" si="10"/>
        <v>In Progress</v>
      </c>
      <c r="L54" s="57" t="str">
        <f t="shared" ca="1" si="11"/>
        <v>In Progress</v>
      </c>
    </row>
    <row r="55" spans="1:12" x14ac:dyDescent="0.3">
      <c r="A55" s="35" t="s">
        <v>278</v>
      </c>
      <c r="B55" s="1" t="s">
        <v>455</v>
      </c>
      <c r="C55" s="3">
        <v>45793</v>
      </c>
      <c r="D55" s="3">
        <f t="shared" si="5"/>
        <v>45793</v>
      </c>
      <c r="E55" s="3">
        <v>46172</v>
      </c>
      <c r="F55" s="3">
        <f t="shared" si="6"/>
        <v>46172</v>
      </c>
      <c r="G55" s="32"/>
      <c r="H55" s="3">
        <f t="shared" si="7"/>
        <v>46172</v>
      </c>
      <c r="I55" s="40">
        <f t="shared" si="8"/>
        <v>379</v>
      </c>
      <c r="J55" s="49" t="str">
        <f t="shared" si="9"/>
        <v>Long Project</v>
      </c>
      <c r="K55" s="42" t="str">
        <f t="shared" ca="1" si="10"/>
        <v>In Progress</v>
      </c>
      <c r="L55" s="57" t="str">
        <f t="shared" ca="1" si="11"/>
        <v>In Progress</v>
      </c>
    </row>
    <row r="56" spans="1:12" x14ac:dyDescent="0.3">
      <c r="A56" s="35" t="s">
        <v>117</v>
      </c>
      <c r="B56" s="1" t="s">
        <v>456</v>
      </c>
      <c r="C56" s="3">
        <v>45824</v>
      </c>
      <c r="D56" s="3">
        <f t="shared" si="5"/>
        <v>45824</v>
      </c>
      <c r="E56" s="3">
        <v>46291</v>
      </c>
      <c r="F56" s="3">
        <f t="shared" si="6"/>
        <v>46291</v>
      </c>
      <c r="G56" s="32"/>
      <c r="H56" s="3">
        <f t="shared" si="7"/>
        <v>46291</v>
      </c>
      <c r="I56" s="40">
        <f t="shared" si="8"/>
        <v>467</v>
      </c>
      <c r="J56" s="49" t="str">
        <f t="shared" si="9"/>
        <v>Long Project</v>
      </c>
      <c r="K56" s="42" t="str">
        <f t="shared" ca="1" si="10"/>
        <v>In Progress</v>
      </c>
      <c r="L56" s="57" t="str">
        <f t="shared" ca="1" si="11"/>
        <v>In Progress</v>
      </c>
    </row>
    <row r="57" spans="1:12" x14ac:dyDescent="0.3">
      <c r="A57" s="35" t="s">
        <v>27</v>
      </c>
      <c r="B57" s="1" t="s">
        <v>457</v>
      </c>
      <c r="C57" s="4">
        <v>45847</v>
      </c>
      <c r="D57" s="3">
        <f t="shared" si="5"/>
        <v>45847</v>
      </c>
      <c r="E57" s="3">
        <v>46290</v>
      </c>
      <c r="F57" s="3">
        <f t="shared" si="6"/>
        <v>46290</v>
      </c>
      <c r="G57" s="32"/>
      <c r="H57" s="3">
        <f t="shared" si="7"/>
        <v>46290</v>
      </c>
      <c r="I57" s="40">
        <f t="shared" si="8"/>
        <v>443</v>
      </c>
      <c r="J57" s="49" t="str">
        <f t="shared" si="9"/>
        <v>Long Project</v>
      </c>
      <c r="K57" s="42" t="str">
        <f t="shared" ca="1" si="10"/>
        <v>In Progress</v>
      </c>
      <c r="L57" s="57" t="str">
        <f t="shared" ca="1" si="11"/>
        <v>In Progress</v>
      </c>
    </row>
    <row r="58" spans="1:12" x14ac:dyDescent="0.3">
      <c r="A58" s="35" t="s">
        <v>275</v>
      </c>
      <c r="B58" s="1" t="s">
        <v>458</v>
      </c>
      <c r="C58" s="3">
        <v>45842</v>
      </c>
      <c r="D58" s="3">
        <f t="shared" si="5"/>
        <v>45842</v>
      </c>
      <c r="E58" s="3">
        <v>46251</v>
      </c>
      <c r="F58" s="3">
        <f t="shared" si="6"/>
        <v>46251</v>
      </c>
      <c r="G58" s="32"/>
      <c r="H58" s="3">
        <f t="shared" si="7"/>
        <v>46251</v>
      </c>
      <c r="I58" s="40">
        <f t="shared" si="8"/>
        <v>409</v>
      </c>
      <c r="J58" s="49" t="str">
        <f t="shared" si="9"/>
        <v>Long Project</v>
      </c>
      <c r="K58" s="42" t="str">
        <f t="shared" ca="1" si="10"/>
        <v>In Progress</v>
      </c>
      <c r="L58" s="57" t="str">
        <f t="shared" ca="1" si="11"/>
        <v>In Progress</v>
      </c>
    </row>
    <row r="59" spans="1:12" x14ac:dyDescent="0.3">
      <c r="A59" s="35" t="s">
        <v>132</v>
      </c>
      <c r="B59" s="1" t="s">
        <v>459</v>
      </c>
      <c r="C59" s="3">
        <v>45839</v>
      </c>
      <c r="D59" s="3">
        <f t="shared" si="5"/>
        <v>45839</v>
      </c>
      <c r="E59" s="3">
        <v>46234</v>
      </c>
      <c r="F59" s="3">
        <f t="shared" si="6"/>
        <v>46234</v>
      </c>
      <c r="G59" s="32"/>
      <c r="H59" s="3">
        <f t="shared" si="7"/>
        <v>46234</v>
      </c>
      <c r="I59" s="40">
        <f t="shared" si="8"/>
        <v>395</v>
      </c>
      <c r="J59" s="49" t="str">
        <f t="shared" si="9"/>
        <v>Long Project</v>
      </c>
      <c r="K59" s="42" t="str">
        <f t="shared" ca="1" si="10"/>
        <v>In Progress</v>
      </c>
      <c r="L59" s="57" t="str">
        <f t="shared" ca="1" si="11"/>
        <v>In Progress</v>
      </c>
    </row>
    <row r="60" spans="1:12" x14ac:dyDescent="0.3">
      <c r="A60" s="35" t="s">
        <v>200</v>
      </c>
      <c r="B60" s="1" t="s">
        <v>460</v>
      </c>
      <c r="C60" s="5">
        <v>45810</v>
      </c>
      <c r="D60" s="3">
        <f t="shared" si="5"/>
        <v>45810</v>
      </c>
      <c r="E60" s="3">
        <v>46224</v>
      </c>
      <c r="F60" s="3">
        <f t="shared" si="6"/>
        <v>46224</v>
      </c>
      <c r="G60" s="32"/>
      <c r="H60" s="3">
        <f t="shared" si="7"/>
        <v>46224</v>
      </c>
      <c r="I60" s="40">
        <f t="shared" si="8"/>
        <v>414</v>
      </c>
      <c r="J60" s="49" t="str">
        <f t="shared" si="9"/>
        <v>Long Project</v>
      </c>
      <c r="K60" s="42" t="str">
        <f t="shared" ca="1" si="10"/>
        <v>In Progress</v>
      </c>
      <c r="L60" s="57" t="str">
        <f t="shared" ca="1" si="11"/>
        <v>In Progress</v>
      </c>
    </row>
    <row r="61" spans="1:12" x14ac:dyDescent="0.3">
      <c r="A61" s="35" t="s">
        <v>63</v>
      </c>
      <c r="B61" s="1" t="s">
        <v>461</v>
      </c>
      <c r="C61" s="3">
        <v>45748</v>
      </c>
      <c r="D61" s="3">
        <f t="shared" si="5"/>
        <v>45748</v>
      </c>
      <c r="E61" s="3">
        <v>46387</v>
      </c>
      <c r="F61" s="3">
        <f t="shared" si="6"/>
        <v>46387</v>
      </c>
      <c r="G61" s="32"/>
      <c r="H61" s="3">
        <f t="shared" si="7"/>
        <v>46387</v>
      </c>
      <c r="I61" s="40">
        <f t="shared" si="8"/>
        <v>639</v>
      </c>
      <c r="J61" s="49" t="str">
        <f t="shared" si="9"/>
        <v>Long Project</v>
      </c>
      <c r="K61" s="42" t="str">
        <f t="shared" ca="1" si="10"/>
        <v>In Progress</v>
      </c>
      <c r="L61" s="57" t="str">
        <f t="shared" ca="1" si="11"/>
        <v>In Progress</v>
      </c>
    </row>
    <row r="62" spans="1:12" x14ac:dyDescent="0.3">
      <c r="A62" s="35" t="s">
        <v>108</v>
      </c>
      <c r="B62" s="1" t="s">
        <v>462</v>
      </c>
      <c r="C62" s="3">
        <v>45748</v>
      </c>
      <c r="D62" s="3">
        <f t="shared" si="5"/>
        <v>45748</v>
      </c>
      <c r="E62" s="3">
        <v>46387</v>
      </c>
      <c r="F62" s="3">
        <f t="shared" si="6"/>
        <v>46387</v>
      </c>
      <c r="G62" s="32"/>
      <c r="H62" s="3">
        <f t="shared" si="7"/>
        <v>46387</v>
      </c>
      <c r="I62" s="40">
        <f t="shared" si="8"/>
        <v>639</v>
      </c>
      <c r="J62" s="49" t="str">
        <f t="shared" si="9"/>
        <v>Long Project</v>
      </c>
      <c r="K62" s="42" t="str">
        <f t="shared" ca="1" si="10"/>
        <v>In Progress</v>
      </c>
      <c r="L62" s="57" t="str">
        <f t="shared" ca="1" si="11"/>
        <v>In Progress</v>
      </c>
    </row>
    <row r="63" spans="1:12" x14ac:dyDescent="0.3">
      <c r="A63" s="35" t="s">
        <v>388</v>
      </c>
      <c r="B63" s="1" t="s">
        <v>463</v>
      </c>
      <c r="C63" s="3">
        <v>46049</v>
      </c>
      <c r="D63" s="3">
        <f t="shared" si="5"/>
        <v>46049</v>
      </c>
      <c r="E63" s="3">
        <v>46136</v>
      </c>
      <c r="F63" s="3">
        <f t="shared" si="6"/>
        <v>46136</v>
      </c>
      <c r="G63" s="32"/>
      <c r="H63" s="3">
        <f t="shared" si="7"/>
        <v>46136</v>
      </c>
      <c r="I63" s="40">
        <f t="shared" si="8"/>
        <v>87</v>
      </c>
      <c r="J63" s="49" t="str">
        <f t="shared" si="9"/>
        <v>Normal</v>
      </c>
      <c r="K63" s="42" t="str">
        <f t="shared" ca="1" si="10"/>
        <v>In Progress</v>
      </c>
      <c r="L63" s="57" t="str">
        <f t="shared" ca="1" si="11"/>
        <v>In Progress</v>
      </c>
    </row>
    <row r="64" spans="1:12" x14ac:dyDescent="0.3">
      <c r="A64" s="35" t="s">
        <v>93</v>
      </c>
      <c r="B64" s="1" t="s">
        <v>464</v>
      </c>
      <c r="C64" s="3">
        <v>46028</v>
      </c>
      <c r="D64" s="3">
        <f t="shared" si="5"/>
        <v>46028</v>
      </c>
      <c r="E64" s="3">
        <v>46077</v>
      </c>
      <c r="F64" s="3">
        <f t="shared" si="6"/>
        <v>46077</v>
      </c>
      <c r="G64" s="32"/>
      <c r="H64" s="3">
        <f t="shared" si="7"/>
        <v>46077</v>
      </c>
      <c r="I64" s="40">
        <f t="shared" si="8"/>
        <v>49</v>
      </c>
      <c r="J64" s="49" t="str">
        <f t="shared" si="9"/>
        <v>Normal</v>
      </c>
      <c r="K64" s="42" t="str">
        <f t="shared" ca="1" si="10"/>
        <v>Completed</v>
      </c>
      <c r="L64" s="60" t="str">
        <f t="shared" ca="1" si="11"/>
        <v>On Time</v>
      </c>
    </row>
    <row r="65" spans="1:12" x14ac:dyDescent="0.3">
      <c r="A65" s="35" t="s">
        <v>215</v>
      </c>
      <c r="B65" s="1" t="s">
        <v>465</v>
      </c>
      <c r="C65" s="3">
        <v>45839</v>
      </c>
      <c r="D65" s="3">
        <f t="shared" si="5"/>
        <v>45839</v>
      </c>
      <c r="E65" s="3">
        <v>46387</v>
      </c>
      <c r="F65" s="3">
        <f t="shared" si="6"/>
        <v>46387</v>
      </c>
      <c r="G65" s="32">
        <v>46059</v>
      </c>
      <c r="H65" s="3">
        <f t="shared" si="7"/>
        <v>46059</v>
      </c>
      <c r="I65" s="40">
        <f t="shared" si="8"/>
        <v>220</v>
      </c>
      <c r="J65" s="49" t="str">
        <f t="shared" si="9"/>
        <v>Long Project</v>
      </c>
      <c r="K65" s="42" t="str">
        <f t="shared" ca="1" si="10"/>
        <v>Completed</v>
      </c>
      <c r="L65" s="60" t="str">
        <f t="shared" ca="1" si="11"/>
        <v>On Time</v>
      </c>
    </row>
    <row r="66" spans="1:12" x14ac:dyDescent="0.3">
      <c r="A66" s="35" t="s">
        <v>15</v>
      </c>
      <c r="B66" s="1" t="s">
        <v>466</v>
      </c>
      <c r="C66" s="3">
        <v>46083</v>
      </c>
      <c r="D66" s="3">
        <f t="shared" si="5"/>
        <v>46083</v>
      </c>
      <c r="E66" s="6" t="s">
        <v>467</v>
      </c>
      <c r="F66" s="3" t="s">
        <v>467</v>
      </c>
      <c r="G66" s="32"/>
      <c r="H66" s="3" t="str">
        <f t="shared" ref="H66:H91" si="12">IF(G66&lt;&gt;"",G66,F66)</f>
        <v>TBD</v>
      </c>
      <c r="I66" s="40" t="str">
        <f t="shared" ref="I66:I91" si="13">IF(OR(NOT(ISNUMBER(C66)),NOT(ISNUMBER(H66))),"",H66-C66)</f>
        <v/>
      </c>
      <c r="J66" s="49" t="s">
        <v>502</v>
      </c>
      <c r="K66" s="42" t="str">
        <f t="shared" ref="K66:K91" ca="1" si="14">IF(OR(H66="",NOT(ISNUMBER(H66))),
   "Planned/In Progress",
   IF(H66&lt;TODAY(),"Completed","In Progress"))</f>
        <v>Planned/In Progress</v>
      </c>
      <c r="L66" s="62" t="str">
        <f t="shared" ref="L66:L91" ca="1" si="15">IF(OR(NOT(ISNUMBER(F66)),NOT(ISNUMBER(H66))),
   "Missing",
   IF(H66&lt;TODAY(),
      IF(H66&gt;F66,H66-F66,"On Time"),
      "In Progress"))</f>
        <v>Missing</v>
      </c>
    </row>
    <row r="67" spans="1:12" x14ac:dyDescent="0.3">
      <c r="A67" s="35" t="s">
        <v>239</v>
      </c>
      <c r="B67" s="1" t="s">
        <v>468</v>
      </c>
      <c r="C67" s="3">
        <v>46076</v>
      </c>
      <c r="D67" s="3">
        <f t="shared" ref="D67:D91" si="16">IF(C67="","",
 IF(ISNUMBER(C67),C67,
 IFERROR(DATEVALUE(C67),
 IFERROR(DATEVALUE(SUBSTITUTE(SUBSTITUTE(C67,"-","/"),",","")),"Check"))))</f>
        <v>46076</v>
      </c>
      <c r="E67" s="6" t="s">
        <v>467</v>
      </c>
      <c r="F67" s="3" t="s">
        <v>467</v>
      </c>
      <c r="G67" s="32"/>
      <c r="H67" s="3" t="str">
        <f t="shared" si="12"/>
        <v>TBD</v>
      </c>
      <c r="I67" s="40" t="str">
        <f t="shared" si="13"/>
        <v/>
      </c>
      <c r="J67" s="49" t="s">
        <v>502</v>
      </c>
      <c r="K67" s="42" t="str">
        <f t="shared" ca="1" si="14"/>
        <v>Planned/In Progress</v>
      </c>
      <c r="L67" s="62" t="str">
        <f t="shared" ca="1" si="15"/>
        <v>Missing</v>
      </c>
    </row>
    <row r="68" spans="1:12" x14ac:dyDescent="0.3">
      <c r="A68" s="35" t="s">
        <v>161</v>
      </c>
      <c r="B68" s="1" t="s">
        <v>469</v>
      </c>
      <c r="C68" s="3">
        <v>46069</v>
      </c>
      <c r="D68" s="3">
        <f t="shared" si="16"/>
        <v>46069</v>
      </c>
      <c r="E68" s="3">
        <v>46094</v>
      </c>
      <c r="F68" s="3">
        <f t="shared" ref="F68:F91" si="17">IF(E68="","",
 IF(ISNUMBER(E68),E68,
 IFERROR(DATEVALUE(E68),
 IFERROR(DATEVALUE(SUBSTITUTE(SUBSTITUTE(E68,"-","/"),",","")),"Check"))))</f>
        <v>46094</v>
      </c>
      <c r="G68" s="32"/>
      <c r="H68" s="3">
        <f t="shared" si="12"/>
        <v>46094</v>
      </c>
      <c r="I68" s="40">
        <f t="shared" si="13"/>
        <v>25</v>
      </c>
      <c r="J68" s="49" t="str">
        <f t="shared" ref="J68:J91" si="18">IF(I68&gt;90,"Long Project","Normal")</f>
        <v>Normal</v>
      </c>
      <c r="K68" s="42" t="str">
        <f t="shared" ca="1" si="14"/>
        <v>Completed</v>
      </c>
      <c r="L68" s="60" t="str">
        <f t="shared" ca="1" si="15"/>
        <v>On Time</v>
      </c>
    </row>
    <row r="69" spans="1:12" x14ac:dyDescent="0.3">
      <c r="A69" s="35" t="s">
        <v>177</v>
      </c>
      <c r="B69" s="1" t="s">
        <v>470</v>
      </c>
      <c r="C69" s="3">
        <v>46083</v>
      </c>
      <c r="D69" s="3">
        <f t="shared" si="16"/>
        <v>46083</v>
      </c>
      <c r="E69" s="3">
        <v>46122</v>
      </c>
      <c r="F69" s="3">
        <f t="shared" si="17"/>
        <v>46122</v>
      </c>
      <c r="G69" s="32"/>
      <c r="H69" s="3">
        <f t="shared" si="12"/>
        <v>46122</v>
      </c>
      <c r="I69" s="40">
        <f t="shared" si="13"/>
        <v>39</v>
      </c>
      <c r="J69" s="49" t="str">
        <f t="shared" si="18"/>
        <v>Normal</v>
      </c>
      <c r="K69" s="42" t="str">
        <f t="shared" ca="1" si="14"/>
        <v>Completed</v>
      </c>
      <c r="L69" s="60" t="str">
        <f t="shared" ca="1" si="15"/>
        <v>On Time</v>
      </c>
    </row>
    <row r="70" spans="1:12" x14ac:dyDescent="0.3">
      <c r="A70" s="35" t="s">
        <v>181</v>
      </c>
      <c r="B70" s="1" t="s">
        <v>471</v>
      </c>
      <c r="C70" s="3">
        <v>45580</v>
      </c>
      <c r="D70" s="3">
        <f t="shared" si="16"/>
        <v>45580</v>
      </c>
      <c r="E70" s="3">
        <v>46234</v>
      </c>
      <c r="F70" s="3">
        <f t="shared" si="17"/>
        <v>46234</v>
      </c>
      <c r="G70" s="32"/>
      <c r="H70" s="3">
        <f t="shared" si="12"/>
        <v>46234</v>
      </c>
      <c r="I70" s="40">
        <f t="shared" si="13"/>
        <v>654</v>
      </c>
      <c r="J70" s="49" t="str">
        <f t="shared" si="18"/>
        <v>Long Project</v>
      </c>
      <c r="K70" s="42" t="str">
        <f t="shared" ca="1" si="14"/>
        <v>In Progress</v>
      </c>
      <c r="L70" s="57" t="str">
        <f t="shared" ca="1" si="15"/>
        <v>In Progress</v>
      </c>
    </row>
    <row r="71" spans="1:12" x14ac:dyDescent="0.3">
      <c r="A71" s="35" t="s">
        <v>21</v>
      </c>
      <c r="B71" s="1" t="s">
        <v>472</v>
      </c>
      <c r="C71" s="3">
        <v>45910</v>
      </c>
      <c r="D71" s="3">
        <f t="shared" si="16"/>
        <v>45910</v>
      </c>
      <c r="E71" s="5">
        <v>46022</v>
      </c>
      <c r="F71" s="3">
        <f t="shared" si="17"/>
        <v>46022</v>
      </c>
      <c r="G71" s="32">
        <v>46112</v>
      </c>
      <c r="H71" s="3">
        <f t="shared" si="12"/>
        <v>46112</v>
      </c>
      <c r="I71" s="40">
        <f t="shared" si="13"/>
        <v>202</v>
      </c>
      <c r="J71" s="49" t="str">
        <f t="shared" si="18"/>
        <v>Long Project</v>
      </c>
      <c r="K71" s="42" t="str">
        <f t="shared" ca="1" si="14"/>
        <v>Completed</v>
      </c>
      <c r="L71" s="61">
        <f t="shared" ca="1" si="15"/>
        <v>90</v>
      </c>
    </row>
    <row r="72" spans="1:12" x14ac:dyDescent="0.3">
      <c r="A72" s="35" t="s">
        <v>145</v>
      </c>
      <c r="B72" s="1" t="s">
        <v>473</v>
      </c>
      <c r="C72" s="3">
        <v>45686</v>
      </c>
      <c r="D72" s="3">
        <f t="shared" si="16"/>
        <v>45686</v>
      </c>
      <c r="E72" s="3">
        <v>46249</v>
      </c>
      <c r="F72" s="3">
        <f t="shared" si="17"/>
        <v>46249</v>
      </c>
      <c r="G72" s="32"/>
      <c r="H72" s="3">
        <f t="shared" si="12"/>
        <v>46249</v>
      </c>
      <c r="I72" s="40">
        <f t="shared" si="13"/>
        <v>563</v>
      </c>
      <c r="J72" s="49" t="str">
        <f t="shared" si="18"/>
        <v>Long Project</v>
      </c>
      <c r="K72" s="42" t="str">
        <f t="shared" ca="1" si="14"/>
        <v>In Progress</v>
      </c>
      <c r="L72" s="57" t="str">
        <f t="shared" ca="1" si="15"/>
        <v>In Progress</v>
      </c>
    </row>
    <row r="73" spans="1:12" x14ac:dyDescent="0.3">
      <c r="A73" s="35" t="s">
        <v>164</v>
      </c>
      <c r="B73" s="1" t="s">
        <v>474</v>
      </c>
      <c r="C73" s="3">
        <v>45630</v>
      </c>
      <c r="D73" s="3">
        <f t="shared" si="16"/>
        <v>45630</v>
      </c>
      <c r="E73" s="3">
        <v>46102</v>
      </c>
      <c r="F73" s="3">
        <f t="shared" si="17"/>
        <v>46102</v>
      </c>
      <c r="G73" s="32"/>
      <c r="H73" s="3">
        <f t="shared" si="12"/>
        <v>46102</v>
      </c>
      <c r="I73" s="40">
        <f t="shared" si="13"/>
        <v>472</v>
      </c>
      <c r="J73" s="49" t="str">
        <f t="shared" si="18"/>
        <v>Long Project</v>
      </c>
      <c r="K73" s="42" t="str">
        <f t="shared" ca="1" si="14"/>
        <v>Completed</v>
      </c>
      <c r="L73" s="60" t="str">
        <f t="shared" ca="1" si="15"/>
        <v>On Time</v>
      </c>
    </row>
    <row r="74" spans="1:12" x14ac:dyDescent="0.3">
      <c r="A74" s="35" t="s">
        <v>265</v>
      </c>
      <c r="B74" s="1" t="s">
        <v>475</v>
      </c>
      <c r="C74" s="3">
        <v>45672</v>
      </c>
      <c r="D74" s="3">
        <f t="shared" si="16"/>
        <v>45672</v>
      </c>
      <c r="E74" s="3">
        <v>46127</v>
      </c>
      <c r="F74" s="3">
        <f t="shared" si="17"/>
        <v>46127</v>
      </c>
      <c r="G74" s="32"/>
      <c r="H74" s="3">
        <f t="shared" si="12"/>
        <v>46127</v>
      </c>
      <c r="I74" s="40">
        <f t="shared" si="13"/>
        <v>455</v>
      </c>
      <c r="J74" s="49" t="str">
        <f t="shared" si="18"/>
        <v>Long Project</v>
      </c>
      <c r="K74" s="42" t="str">
        <f t="shared" ca="1" si="14"/>
        <v>In Progress</v>
      </c>
      <c r="L74" s="57" t="str">
        <f t="shared" ca="1" si="15"/>
        <v>In Progress</v>
      </c>
    </row>
    <row r="75" spans="1:12" x14ac:dyDescent="0.3">
      <c r="A75" s="35" t="s">
        <v>105</v>
      </c>
      <c r="B75" s="1" t="s">
        <v>476</v>
      </c>
      <c r="C75" s="3">
        <v>45915</v>
      </c>
      <c r="D75" s="3">
        <f t="shared" si="16"/>
        <v>45915</v>
      </c>
      <c r="E75" s="3">
        <v>46354</v>
      </c>
      <c r="F75" s="3">
        <f t="shared" si="17"/>
        <v>46354</v>
      </c>
      <c r="G75" s="32"/>
      <c r="H75" s="3">
        <f t="shared" si="12"/>
        <v>46354</v>
      </c>
      <c r="I75" s="40">
        <f t="shared" si="13"/>
        <v>439</v>
      </c>
      <c r="J75" s="49" t="str">
        <f t="shared" si="18"/>
        <v>Long Project</v>
      </c>
      <c r="K75" s="42" t="str">
        <f t="shared" ca="1" si="14"/>
        <v>In Progress</v>
      </c>
      <c r="L75" s="57" t="str">
        <f t="shared" ca="1" si="15"/>
        <v>In Progress</v>
      </c>
    </row>
    <row r="76" spans="1:12" x14ac:dyDescent="0.3">
      <c r="A76" s="35" t="s">
        <v>254</v>
      </c>
      <c r="B76" s="1" t="s">
        <v>477</v>
      </c>
      <c r="C76" s="3">
        <v>45922</v>
      </c>
      <c r="D76" s="3">
        <f t="shared" si="16"/>
        <v>45922</v>
      </c>
      <c r="E76" s="3">
        <v>46069</v>
      </c>
      <c r="F76" s="3">
        <f t="shared" si="17"/>
        <v>46069</v>
      </c>
      <c r="G76" s="32"/>
      <c r="H76" s="3">
        <f t="shared" si="12"/>
        <v>46069</v>
      </c>
      <c r="I76" s="40">
        <f t="shared" si="13"/>
        <v>147</v>
      </c>
      <c r="J76" s="49" t="str">
        <f t="shared" si="18"/>
        <v>Long Project</v>
      </c>
      <c r="K76" s="42" t="str">
        <f t="shared" ca="1" si="14"/>
        <v>Completed</v>
      </c>
      <c r="L76" s="60" t="str">
        <f t="shared" ca="1" si="15"/>
        <v>On Time</v>
      </c>
    </row>
    <row r="77" spans="1:12" x14ac:dyDescent="0.3">
      <c r="A77" s="35" t="s">
        <v>77</v>
      </c>
      <c r="B77" s="1" t="s">
        <v>478</v>
      </c>
      <c r="C77" s="3">
        <v>45663</v>
      </c>
      <c r="D77" s="3">
        <f t="shared" si="16"/>
        <v>45663</v>
      </c>
      <c r="E77" s="3">
        <v>46387</v>
      </c>
      <c r="F77" s="3">
        <f t="shared" si="17"/>
        <v>46387</v>
      </c>
      <c r="G77" s="32"/>
      <c r="H77" s="3">
        <f t="shared" si="12"/>
        <v>46387</v>
      </c>
      <c r="I77" s="40">
        <f t="shared" si="13"/>
        <v>724</v>
      </c>
      <c r="J77" s="49" t="str">
        <f t="shared" si="18"/>
        <v>Long Project</v>
      </c>
      <c r="K77" s="42" t="str">
        <f t="shared" ca="1" si="14"/>
        <v>In Progress</v>
      </c>
      <c r="L77" s="57" t="str">
        <f t="shared" ca="1" si="15"/>
        <v>In Progress</v>
      </c>
    </row>
    <row r="78" spans="1:12" x14ac:dyDescent="0.3">
      <c r="A78" s="35" t="s">
        <v>197</v>
      </c>
      <c r="B78" s="1" t="s">
        <v>479</v>
      </c>
      <c r="C78" s="3">
        <v>45861</v>
      </c>
      <c r="D78" s="3">
        <f t="shared" si="16"/>
        <v>45861</v>
      </c>
      <c r="E78" s="3">
        <v>46048</v>
      </c>
      <c r="F78" s="3">
        <f t="shared" si="17"/>
        <v>46048</v>
      </c>
      <c r="G78" s="32">
        <v>46111</v>
      </c>
      <c r="H78" s="3">
        <f t="shared" si="12"/>
        <v>46111</v>
      </c>
      <c r="I78" s="40">
        <f t="shared" si="13"/>
        <v>250</v>
      </c>
      <c r="J78" s="49" t="str">
        <f t="shared" si="18"/>
        <v>Long Project</v>
      </c>
      <c r="K78" s="42" t="str">
        <f t="shared" ca="1" si="14"/>
        <v>Completed</v>
      </c>
      <c r="L78" s="61">
        <f t="shared" ca="1" si="15"/>
        <v>63</v>
      </c>
    </row>
    <row r="79" spans="1:12" x14ac:dyDescent="0.3">
      <c r="A79" s="35" t="s">
        <v>78</v>
      </c>
      <c r="B79" s="1" t="s">
        <v>480</v>
      </c>
      <c r="C79" s="3">
        <v>45895</v>
      </c>
      <c r="D79" s="3">
        <f t="shared" si="16"/>
        <v>45895</v>
      </c>
      <c r="E79" s="3">
        <v>46354</v>
      </c>
      <c r="F79" s="3">
        <f t="shared" si="17"/>
        <v>46354</v>
      </c>
      <c r="G79" s="32">
        <v>46038</v>
      </c>
      <c r="H79" s="3">
        <f t="shared" si="12"/>
        <v>46038</v>
      </c>
      <c r="I79" s="40">
        <f t="shared" si="13"/>
        <v>143</v>
      </c>
      <c r="J79" s="49" t="str">
        <f t="shared" si="18"/>
        <v>Long Project</v>
      </c>
      <c r="K79" s="42" t="str">
        <f t="shared" ca="1" si="14"/>
        <v>Completed</v>
      </c>
      <c r="L79" s="60" t="str">
        <f t="shared" ca="1" si="15"/>
        <v>On Time</v>
      </c>
    </row>
    <row r="80" spans="1:12" x14ac:dyDescent="0.3">
      <c r="A80" s="35" t="s">
        <v>146</v>
      </c>
      <c r="B80" s="1" t="s">
        <v>481</v>
      </c>
      <c r="C80" s="3">
        <v>45915</v>
      </c>
      <c r="D80" s="3">
        <f t="shared" si="16"/>
        <v>45915</v>
      </c>
      <c r="E80" s="3">
        <v>46375</v>
      </c>
      <c r="F80" s="3">
        <f t="shared" si="17"/>
        <v>46375</v>
      </c>
      <c r="G80" s="32"/>
      <c r="H80" s="3">
        <f t="shared" si="12"/>
        <v>46375</v>
      </c>
      <c r="I80" s="40">
        <f t="shared" si="13"/>
        <v>460</v>
      </c>
      <c r="J80" s="49" t="str">
        <f t="shared" si="18"/>
        <v>Long Project</v>
      </c>
      <c r="K80" s="42" t="str">
        <f t="shared" ca="1" si="14"/>
        <v>In Progress</v>
      </c>
      <c r="L80" s="57" t="str">
        <f t="shared" ca="1" si="15"/>
        <v>In Progress</v>
      </c>
    </row>
    <row r="81" spans="1:12" x14ac:dyDescent="0.3">
      <c r="A81" s="35" t="s">
        <v>73</v>
      </c>
      <c r="B81" s="1" t="s">
        <v>482</v>
      </c>
      <c r="C81" s="3">
        <v>45820</v>
      </c>
      <c r="D81" s="3">
        <f t="shared" si="16"/>
        <v>45820</v>
      </c>
      <c r="E81" s="3">
        <v>46249</v>
      </c>
      <c r="F81" s="3">
        <f t="shared" si="17"/>
        <v>46249</v>
      </c>
      <c r="G81" s="32"/>
      <c r="H81" s="3">
        <f t="shared" si="12"/>
        <v>46249</v>
      </c>
      <c r="I81" s="40">
        <f t="shared" si="13"/>
        <v>429</v>
      </c>
      <c r="J81" s="49" t="str">
        <f t="shared" si="18"/>
        <v>Long Project</v>
      </c>
      <c r="K81" s="42" t="str">
        <f t="shared" ca="1" si="14"/>
        <v>In Progress</v>
      </c>
      <c r="L81" s="57" t="str">
        <f t="shared" ca="1" si="15"/>
        <v>In Progress</v>
      </c>
    </row>
    <row r="82" spans="1:12" x14ac:dyDescent="0.3">
      <c r="A82" s="35" t="s">
        <v>101</v>
      </c>
      <c r="B82" s="1" t="s">
        <v>483</v>
      </c>
      <c r="C82" s="4">
        <v>45927</v>
      </c>
      <c r="D82" s="3">
        <f t="shared" si="16"/>
        <v>45927</v>
      </c>
      <c r="E82" s="3">
        <v>46387</v>
      </c>
      <c r="F82" s="3">
        <f t="shared" si="17"/>
        <v>46387</v>
      </c>
      <c r="G82" s="32">
        <v>46059</v>
      </c>
      <c r="H82" s="3">
        <f t="shared" si="12"/>
        <v>46059</v>
      </c>
      <c r="I82" s="40">
        <f t="shared" si="13"/>
        <v>132</v>
      </c>
      <c r="J82" s="49" t="str">
        <f t="shared" si="18"/>
        <v>Long Project</v>
      </c>
      <c r="K82" s="42" t="str">
        <f t="shared" ca="1" si="14"/>
        <v>Completed</v>
      </c>
      <c r="L82" s="60" t="str">
        <f t="shared" ca="1" si="15"/>
        <v>On Time</v>
      </c>
    </row>
    <row r="83" spans="1:12" x14ac:dyDescent="0.3">
      <c r="A83" s="35" t="s">
        <v>236</v>
      </c>
      <c r="B83" s="1" t="s">
        <v>484</v>
      </c>
      <c r="C83" s="3">
        <v>45519</v>
      </c>
      <c r="D83" s="3">
        <f t="shared" si="16"/>
        <v>45519</v>
      </c>
      <c r="E83" s="3" t="s">
        <v>467</v>
      </c>
      <c r="F83" s="3" t="s">
        <v>467</v>
      </c>
      <c r="G83" s="32"/>
      <c r="H83" s="3" t="str">
        <f t="shared" si="12"/>
        <v>TBD</v>
      </c>
      <c r="I83" s="40" t="str">
        <f t="shared" si="13"/>
        <v/>
      </c>
      <c r="J83" s="49" t="s">
        <v>502</v>
      </c>
      <c r="K83" s="42" t="str">
        <f t="shared" ca="1" si="14"/>
        <v>Planned/In Progress</v>
      </c>
      <c r="L83" s="62" t="str">
        <f t="shared" ca="1" si="15"/>
        <v>Missing</v>
      </c>
    </row>
    <row r="84" spans="1:12" x14ac:dyDescent="0.3">
      <c r="A84" s="35" t="s">
        <v>315</v>
      </c>
      <c r="B84" s="1" t="s">
        <v>485</v>
      </c>
      <c r="C84" s="3">
        <v>45748</v>
      </c>
      <c r="D84" s="3">
        <f t="shared" si="16"/>
        <v>45748</v>
      </c>
      <c r="E84" s="3">
        <v>46326</v>
      </c>
      <c r="F84" s="3">
        <f t="shared" si="17"/>
        <v>46326</v>
      </c>
      <c r="G84" s="32"/>
      <c r="H84" s="3">
        <f t="shared" si="12"/>
        <v>46326</v>
      </c>
      <c r="I84" s="40">
        <f t="shared" si="13"/>
        <v>578</v>
      </c>
      <c r="J84" s="49" t="str">
        <f t="shared" si="18"/>
        <v>Long Project</v>
      </c>
      <c r="K84" s="42" t="str">
        <f t="shared" ca="1" si="14"/>
        <v>In Progress</v>
      </c>
      <c r="L84" s="57" t="str">
        <f t="shared" ca="1" si="15"/>
        <v>In Progress</v>
      </c>
    </row>
    <row r="85" spans="1:12" x14ac:dyDescent="0.3">
      <c r="A85" s="35" t="s">
        <v>94</v>
      </c>
      <c r="B85" s="1" t="s">
        <v>486</v>
      </c>
      <c r="C85" s="3" t="s">
        <v>467</v>
      </c>
      <c r="D85" s="3" t="s">
        <v>467</v>
      </c>
      <c r="E85" s="3" t="s">
        <v>467</v>
      </c>
      <c r="F85" s="3" t="s">
        <v>467</v>
      </c>
      <c r="G85" s="32"/>
      <c r="H85" s="3" t="str">
        <f t="shared" si="12"/>
        <v>TBD</v>
      </c>
      <c r="I85" s="40" t="str">
        <f t="shared" si="13"/>
        <v/>
      </c>
      <c r="J85" s="49" t="s">
        <v>502</v>
      </c>
      <c r="K85" s="42" t="str">
        <f t="shared" ca="1" si="14"/>
        <v>Planned/In Progress</v>
      </c>
      <c r="L85" s="62" t="str">
        <f t="shared" ca="1" si="15"/>
        <v>Missing</v>
      </c>
    </row>
    <row r="86" spans="1:12" x14ac:dyDescent="0.3">
      <c r="A86" s="35" t="s">
        <v>39</v>
      </c>
      <c r="B86" s="1" t="s">
        <v>487</v>
      </c>
      <c r="C86" s="3">
        <v>45428</v>
      </c>
      <c r="D86" s="3">
        <f t="shared" si="16"/>
        <v>45428</v>
      </c>
      <c r="E86" s="3">
        <v>46262</v>
      </c>
      <c r="F86" s="3">
        <f t="shared" si="17"/>
        <v>46262</v>
      </c>
      <c r="G86" s="32"/>
      <c r="H86" s="3">
        <f t="shared" si="12"/>
        <v>46262</v>
      </c>
      <c r="I86" s="40">
        <f t="shared" si="13"/>
        <v>834</v>
      </c>
      <c r="J86" s="49" t="str">
        <f t="shared" si="18"/>
        <v>Long Project</v>
      </c>
      <c r="K86" s="42" t="str">
        <f t="shared" ca="1" si="14"/>
        <v>In Progress</v>
      </c>
      <c r="L86" s="57" t="str">
        <f t="shared" ca="1" si="15"/>
        <v>In Progress</v>
      </c>
    </row>
    <row r="87" spans="1:12" x14ac:dyDescent="0.3">
      <c r="A87" s="35" t="s">
        <v>120</v>
      </c>
      <c r="B87" s="1" t="s">
        <v>488</v>
      </c>
      <c r="C87" s="3" t="s">
        <v>467</v>
      </c>
      <c r="D87" s="3" t="s">
        <v>467</v>
      </c>
      <c r="E87" s="3" t="s">
        <v>467</v>
      </c>
      <c r="F87" s="3" t="s">
        <v>467</v>
      </c>
      <c r="G87" s="32"/>
      <c r="H87" s="3" t="str">
        <f t="shared" si="12"/>
        <v>TBD</v>
      </c>
      <c r="I87" s="40" t="str">
        <f t="shared" si="13"/>
        <v/>
      </c>
      <c r="J87" s="49" t="s">
        <v>502</v>
      </c>
      <c r="K87" s="42" t="str">
        <f t="shared" ca="1" si="14"/>
        <v>Planned/In Progress</v>
      </c>
      <c r="L87" s="62" t="str">
        <f t="shared" ca="1" si="15"/>
        <v>Missing</v>
      </c>
    </row>
    <row r="88" spans="1:12" x14ac:dyDescent="0.3">
      <c r="A88" s="35" t="s">
        <v>218</v>
      </c>
      <c r="B88" s="1" t="s">
        <v>489</v>
      </c>
      <c r="C88" s="3">
        <v>45803</v>
      </c>
      <c r="D88" s="3">
        <f t="shared" si="16"/>
        <v>45803</v>
      </c>
      <c r="E88" s="3">
        <v>46022</v>
      </c>
      <c r="F88" s="3">
        <f t="shared" si="17"/>
        <v>46022</v>
      </c>
      <c r="G88" s="32">
        <v>46312</v>
      </c>
      <c r="H88" s="3">
        <f t="shared" si="12"/>
        <v>46312</v>
      </c>
      <c r="I88" s="40">
        <f t="shared" si="13"/>
        <v>509</v>
      </c>
      <c r="J88" s="49" t="str">
        <f t="shared" si="18"/>
        <v>Long Project</v>
      </c>
      <c r="K88" s="42" t="str">
        <f t="shared" ca="1" si="14"/>
        <v>In Progress</v>
      </c>
      <c r="L88" s="57" t="str">
        <f t="shared" ca="1" si="15"/>
        <v>In Progress</v>
      </c>
    </row>
    <row r="89" spans="1:12" x14ac:dyDescent="0.3">
      <c r="A89" s="35" t="s">
        <v>153</v>
      </c>
      <c r="B89" s="1" t="s">
        <v>490</v>
      </c>
      <c r="C89" s="3">
        <v>45741</v>
      </c>
      <c r="D89" s="3">
        <f t="shared" si="16"/>
        <v>45741</v>
      </c>
      <c r="E89" s="3">
        <v>46186</v>
      </c>
      <c r="F89" s="3">
        <f t="shared" si="17"/>
        <v>46186</v>
      </c>
      <c r="G89" s="32"/>
      <c r="H89" s="3">
        <f t="shared" si="12"/>
        <v>46186</v>
      </c>
      <c r="I89" s="40">
        <f t="shared" si="13"/>
        <v>445</v>
      </c>
      <c r="J89" s="49" t="str">
        <f t="shared" si="18"/>
        <v>Long Project</v>
      </c>
      <c r="K89" s="42" t="str">
        <f t="shared" ca="1" si="14"/>
        <v>In Progress</v>
      </c>
      <c r="L89" s="57" t="str">
        <f t="shared" ca="1" si="15"/>
        <v>In Progress</v>
      </c>
    </row>
    <row r="90" spans="1:12" x14ac:dyDescent="0.3">
      <c r="A90" s="35" t="s">
        <v>142</v>
      </c>
      <c r="B90" s="1" t="s">
        <v>491</v>
      </c>
      <c r="C90" s="3">
        <v>45823</v>
      </c>
      <c r="D90" s="3">
        <f t="shared" si="16"/>
        <v>45823</v>
      </c>
      <c r="E90" s="3">
        <v>46053</v>
      </c>
      <c r="F90" s="3">
        <f t="shared" si="17"/>
        <v>46053</v>
      </c>
      <c r="G90" s="32"/>
      <c r="H90" s="3">
        <f t="shared" si="12"/>
        <v>46053</v>
      </c>
      <c r="I90" s="40">
        <f t="shared" si="13"/>
        <v>230</v>
      </c>
      <c r="J90" s="49" t="str">
        <f t="shared" si="18"/>
        <v>Long Project</v>
      </c>
      <c r="K90" s="42" t="str">
        <f t="shared" ca="1" si="14"/>
        <v>Completed</v>
      </c>
      <c r="L90" s="60" t="str">
        <f t="shared" ca="1" si="15"/>
        <v>On Time</v>
      </c>
    </row>
    <row r="91" spans="1:12" x14ac:dyDescent="0.3">
      <c r="A91" s="26" t="s">
        <v>318</v>
      </c>
      <c r="B91" s="22" t="s">
        <v>492</v>
      </c>
      <c r="C91" s="38">
        <v>45894</v>
      </c>
      <c r="D91" s="39">
        <f t="shared" si="16"/>
        <v>45894</v>
      </c>
      <c r="E91" s="39">
        <v>46294</v>
      </c>
      <c r="F91" s="39">
        <f t="shared" si="17"/>
        <v>46294</v>
      </c>
      <c r="G91" s="51"/>
      <c r="H91" s="39">
        <f t="shared" si="12"/>
        <v>46294</v>
      </c>
      <c r="I91" s="41">
        <f t="shared" si="13"/>
        <v>400</v>
      </c>
      <c r="J91" s="52" t="str">
        <f t="shared" si="18"/>
        <v>Long Project</v>
      </c>
      <c r="K91" s="42" t="str">
        <f t="shared" ca="1" si="14"/>
        <v>In Progress</v>
      </c>
      <c r="L91" s="57" t="str">
        <f t="shared" ca="1" si="15"/>
        <v>In Progress</v>
      </c>
    </row>
    <row r="93" spans="1:12" ht="14.4" customHeight="1" x14ac:dyDescent="0.3">
      <c r="L93" s="56" t="s">
        <v>520</v>
      </c>
    </row>
    <row r="94" spans="1:12" x14ac:dyDescent="0.3">
      <c r="L94" s="56"/>
    </row>
    <row r="95" spans="1:12" x14ac:dyDescent="0.3">
      <c r="L95" s="56"/>
    </row>
    <row r="96" spans="1:12" x14ac:dyDescent="0.3">
      <c r="L96" s="56"/>
    </row>
    <row r="97" spans="12:12" x14ac:dyDescent="0.3">
      <c r="L97" s="56"/>
    </row>
    <row r="98" spans="12:12" x14ac:dyDescent="0.3">
      <c r="L98" s="56"/>
    </row>
    <row r="99" spans="12:12" x14ac:dyDescent="0.3">
      <c r="L99" s="56"/>
    </row>
    <row r="100" spans="12:12" x14ac:dyDescent="0.3">
      <c r="L100" s="56"/>
    </row>
    <row r="101" spans="12:12" x14ac:dyDescent="0.3">
      <c r="L101" s="56"/>
    </row>
    <row r="102" spans="12:12" x14ac:dyDescent="0.3">
      <c r="L102" s="56"/>
    </row>
    <row r="103" spans="12:12" x14ac:dyDescent="0.3">
      <c r="L103" s="56"/>
    </row>
    <row r="104" spans="12:12" x14ac:dyDescent="0.3">
      <c r="L104" s="56"/>
    </row>
    <row r="105" spans="12:12" x14ac:dyDescent="0.3">
      <c r="L105" s="45"/>
    </row>
    <row r="106" spans="12:12" x14ac:dyDescent="0.3">
      <c r="L106" s="45"/>
    </row>
    <row r="107" spans="12:12" x14ac:dyDescent="0.3">
      <c r="L107" s="45"/>
    </row>
    <row r="108" spans="12:12" x14ac:dyDescent="0.3">
      <c r="L108" s="45"/>
    </row>
    <row r="109" spans="12:12" x14ac:dyDescent="0.3">
      <c r="L109" s="45"/>
    </row>
    <row r="110" spans="12:12" x14ac:dyDescent="0.3">
      <c r="L110" s="45"/>
    </row>
    <row r="111" spans="12:12" x14ac:dyDescent="0.3">
      <c r="L111" s="45"/>
    </row>
    <row r="112" spans="12:12" x14ac:dyDescent="0.3">
      <c r="L112" s="45"/>
    </row>
    <row r="113" spans="12:12" x14ac:dyDescent="0.3">
      <c r="L113" s="45"/>
    </row>
    <row r="114" spans="12:12" x14ac:dyDescent="0.3">
      <c r="L114" s="45"/>
    </row>
    <row r="115" spans="12:12" x14ac:dyDescent="0.3">
      <c r="L115" s="45"/>
    </row>
    <row r="116" spans="12:12" x14ac:dyDescent="0.3">
      <c r="L116" s="45"/>
    </row>
    <row r="117" spans="12:12" x14ac:dyDescent="0.3">
      <c r="L117" s="45"/>
    </row>
    <row r="118" spans="12:12" x14ac:dyDescent="0.3">
      <c r="L118" s="45"/>
    </row>
    <row r="119" spans="12:12" x14ac:dyDescent="0.3">
      <c r="L119" s="45"/>
    </row>
    <row r="120" spans="12:12" x14ac:dyDescent="0.3">
      <c r="L120" s="45"/>
    </row>
    <row r="121" spans="12:12" x14ac:dyDescent="0.3">
      <c r="L121" s="45"/>
    </row>
    <row r="122" spans="12:12" x14ac:dyDescent="0.3">
      <c r="L122" s="45"/>
    </row>
    <row r="123" spans="12:12" x14ac:dyDescent="0.3">
      <c r="L123" s="45"/>
    </row>
    <row r="124" spans="12:12" x14ac:dyDescent="0.3">
      <c r="L124" s="45"/>
    </row>
    <row r="125" spans="12:12" x14ac:dyDescent="0.3">
      <c r="L125" s="45"/>
    </row>
    <row r="126" spans="12:12" x14ac:dyDescent="0.3">
      <c r="L126" s="45"/>
    </row>
    <row r="127" spans="12:12" x14ac:dyDescent="0.3">
      <c r="L127" s="45"/>
    </row>
    <row r="128" spans="12:12" x14ac:dyDescent="0.3">
      <c r="L128" s="45"/>
    </row>
    <row r="129" spans="12:12" x14ac:dyDescent="0.3">
      <c r="L129" s="45"/>
    </row>
    <row r="130" spans="12:12" x14ac:dyDescent="0.3">
      <c r="L130" s="45"/>
    </row>
    <row r="131" spans="12:12" x14ac:dyDescent="0.3">
      <c r="L131" s="45"/>
    </row>
    <row r="132" spans="12:12" x14ac:dyDescent="0.3">
      <c r="L132" s="45"/>
    </row>
    <row r="133" spans="12:12" x14ac:dyDescent="0.3">
      <c r="L133" s="45"/>
    </row>
    <row r="134" spans="12:12" x14ac:dyDescent="0.3">
      <c r="L134" s="45"/>
    </row>
    <row r="135" spans="12:12" x14ac:dyDescent="0.3">
      <c r="L135" s="45"/>
    </row>
    <row r="136" spans="12:12" x14ac:dyDescent="0.3">
      <c r="L136" s="45"/>
    </row>
  </sheetData>
  <mergeCells count="1">
    <mergeCell ref="L93:L104"/>
  </mergeCells>
  <conditionalFormatting sqref="I2:I1048576">
    <cfRule type="cellIs" dxfId="31" priority="16" operator="greaterThan">
      <formula>90</formula>
    </cfRule>
  </conditionalFormatting>
  <conditionalFormatting sqref="K1:K1048576">
    <cfRule type="beginsWith" dxfId="30" priority="7" operator="beginsWith" text="Pl">
      <formula>LEFT(K1,LEN("Pl"))="Pl"</formula>
    </cfRule>
    <cfRule type="beginsWith" dxfId="29" priority="8" operator="beginsWith" text="I">
      <formula>LEFT(K1,LEN("I"))="I"</formula>
    </cfRule>
    <cfRule type="beginsWith" dxfId="28" priority="9" operator="beginsWith" text="C">
      <formula>LEFT(K1,LEN("C"))="C"</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DE6E-3E91-4514-9582-CC1A888168A5}">
  <dimension ref="A3:E31"/>
  <sheetViews>
    <sheetView workbookViewId="0">
      <selection activeCell="B34" sqref="B34"/>
    </sheetView>
  </sheetViews>
  <sheetFormatPr defaultRowHeight="14.4" x14ac:dyDescent="0.3"/>
  <cols>
    <col min="1" max="1" width="22" bestFit="1" customWidth="1"/>
    <col min="2" max="2" width="15.5546875" bestFit="1" customWidth="1"/>
    <col min="3" max="3" width="5.88671875" bestFit="1" customWidth="1"/>
    <col min="4" max="5" width="10.5546875" bestFit="1" customWidth="1"/>
  </cols>
  <sheetData>
    <row r="3" spans="1:4" x14ac:dyDescent="0.3">
      <c r="A3" s="27" t="s">
        <v>497</v>
      </c>
      <c r="B3" s="27" t="s">
        <v>498</v>
      </c>
    </row>
    <row r="4" spans="1:4" x14ac:dyDescent="0.3">
      <c r="A4" s="27" t="s">
        <v>495</v>
      </c>
      <c r="B4" t="s">
        <v>13</v>
      </c>
      <c r="C4" t="s">
        <v>55</v>
      </c>
      <c r="D4" t="s">
        <v>496</v>
      </c>
    </row>
    <row r="5" spans="1:4" x14ac:dyDescent="0.3">
      <c r="A5" s="28" t="s">
        <v>25</v>
      </c>
      <c r="B5" s="30">
        <v>11</v>
      </c>
      <c r="C5" s="30">
        <v>6</v>
      </c>
      <c r="D5" s="30">
        <v>17</v>
      </c>
    </row>
    <row r="6" spans="1:4" x14ac:dyDescent="0.3">
      <c r="A6" s="29" t="s">
        <v>54</v>
      </c>
      <c r="B6" s="30">
        <v>1</v>
      </c>
      <c r="C6" s="30">
        <v>5</v>
      </c>
      <c r="D6" s="30">
        <v>6</v>
      </c>
    </row>
    <row r="7" spans="1:4" x14ac:dyDescent="0.3">
      <c r="A7" s="29" t="s">
        <v>31</v>
      </c>
      <c r="B7" s="30">
        <v>5</v>
      </c>
      <c r="C7" s="30">
        <v>1</v>
      </c>
      <c r="D7" s="30">
        <v>6</v>
      </c>
    </row>
    <row r="8" spans="1:4" x14ac:dyDescent="0.3">
      <c r="A8" s="29" t="s">
        <v>24</v>
      </c>
      <c r="B8" s="30">
        <v>1</v>
      </c>
      <c r="C8" s="30"/>
      <c r="D8" s="30">
        <v>1</v>
      </c>
    </row>
    <row r="9" spans="1:4" x14ac:dyDescent="0.3">
      <c r="A9" s="29" t="s">
        <v>42</v>
      </c>
      <c r="B9" s="30">
        <v>2</v>
      </c>
      <c r="C9" s="30"/>
      <c r="D9" s="30">
        <v>2</v>
      </c>
    </row>
    <row r="10" spans="1:4" x14ac:dyDescent="0.3">
      <c r="A10" s="29" t="s">
        <v>11</v>
      </c>
      <c r="B10" s="30">
        <v>2</v>
      </c>
      <c r="C10" s="30"/>
      <c r="D10" s="30">
        <v>2</v>
      </c>
    </row>
    <row r="11" spans="1:4" x14ac:dyDescent="0.3">
      <c r="A11" s="28" t="s">
        <v>12</v>
      </c>
      <c r="B11" s="30">
        <v>15</v>
      </c>
      <c r="C11" s="30">
        <v>6</v>
      </c>
      <c r="D11" s="30">
        <v>21</v>
      </c>
    </row>
    <row r="12" spans="1:4" x14ac:dyDescent="0.3">
      <c r="A12" s="29" t="s">
        <v>54</v>
      </c>
      <c r="B12" s="30">
        <v>3</v>
      </c>
      <c r="C12" s="30">
        <v>6</v>
      </c>
      <c r="D12" s="30">
        <v>9</v>
      </c>
    </row>
    <row r="13" spans="1:4" x14ac:dyDescent="0.3">
      <c r="A13" s="29" t="s">
        <v>31</v>
      </c>
      <c r="B13" s="30">
        <v>3</v>
      </c>
      <c r="C13" s="30"/>
      <c r="D13" s="30">
        <v>3</v>
      </c>
    </row>
    <row r="14" spans="1:4" x14ac:dyDescent="0.3">
      <c r="A14" s="29" t="s">
        <v>24</v>
      </c>
      <c r="B14" s="30">
        <v>4</v>
      </c>
      <c r="C14" s="30"/>
      <c r="D14" s="30">
        <v>4</v>
      </c>
    </row>
    <row r="15" spans="1:4" x14ac:dyDescent="0.3">
      <c r="A15" s="29" t="s">
        <v>36</v>
      </c>
      <c r="B15" s="30">
        <v>1</v>
      </c>
      <c r="C15" s="30"/>
      <c r="D15" s="30">
        <v>1</v>
      </c>
    </row>
    <row r="16" spans="1:4" x14ac:dyDescent="0.3">
      <c r="A16" s="29" t="s">
        <v>170</v>
      </c>
      <c r="B16" s="30">
        <v>1</v>
      </c>
      <c r="C16" s="30"/>
      <c r="D16" s="30">
        <v>1</v>
      </c>
    </row>
    <row r="17" spans="1:5" x14ac:dyDescent="0.3">
      <c r="A17" s="29" t="s">
        <v>11</v>
      </c>
      <c r="B17" s="30">
        <v>3</v>
      </c>
      <c r="C17" s="30"/>
      <c r="D17" s="30">
        <v>3</v>
      </c>
    </row>
    <row r="18" spans="1:5" x14ac:dyDescent="0.3">
      <c r="A18" s="28" t="s">
        <v>19</v>
      </c>
      <c r="B18" s="30">
        <v>12</v>
      </c>
      <c r="C18" s="30">
        <v>3</v>
      </c>
      <c r="D18" s="30">
        <v>15</v>
      </c>
    </row>
    <row r="19" spans="1:5" x14ac:dyDescent="0.3">
      <c r="A19" s="29" t="s">
        <v>54</v>
      </c>
      <c r="B19" s="30"/>
      <c r="C19" s="30">
        <v>3</v>
      </c>
      <c r="D19" s="30">
        <v>3</v>
      </c>
    </row>
    <row r="20" spans="1:5" x14ac:dyDescent="0.3">
      <c r="A20" s="29" t="s">
        <v>31</v>
      </c>
      <c r="B20" s="30">
        <v>7</v>
      </c>
      <c r="C20" s="30"/>
      <c r="D20" s="30">
        <v>7</v>
      </c>
    </row>
    <row r="21" spans="1:5" x14ac:dyDescent="0.3">
      <c r="A21" s="29" t="s">
        <v>24</v>
      </c>
      <c r="B21" s="30">
        <v>2</v>
      </c>
      <c r="C21" s="30"/>
      <c r="D21" s="30">
        <v>2</v>
      </c>
    </row>
    <row r="22" spans="1:5" x14ac:dyDescent="0.3">
      <c r="A22" s="29" t="s">
        <v>18</v>
      </c>
      <c r="B22" s="30">
        <v>1</v>
      </c>
      <c r="C22" s="30"/>
      <c r="D22" s="30">
        <v>1</v>
      </c>
    </row>
    <row r="23" spans="1:5" x14ac:dyDescent="0.3">
      <c r="A23" s="29" t="s">
        <v>36</v>
      </c>
      <c r="B23" s="30">
        <v>2</v>
      </c>
      <c r="C23" s="30"/>
      <c r="D23" s="30">
        <v>2</v>
      </c>
    </row>
    <row r="24" spans="1:5" x14ac:dyDescent="0.3">
      <c r="A24" s="28" t="s">
        <v>496</v>
      </c>
      <c r="B24" s="30">
        <v>38</v>
      </c>
      <c r="C24" s="30">
        <v>15</v>
      </c>
      <c r="D24" s="30">
        <v>53</v>
      </c>
    </row>
    <row r="27" spans="1:5" ht="14.4" customHeight="1" x14ac:dyDescent="0.3">
      <c r="A27" s="44" t="s">
        <v>508</v>
      </c>
      <c r="B27" s="44"/>
      <c r="C27" s="44"/>
      <c r="D27" s="44"/>
      <c r="E27" s="44"/>
    </row>
    <row r="28" spans="1:5" x14ac:dyDescent="0.3">
      <c r="A28" s="44"/>
      <c r="B28" s="44"/>
      <c r="C28" s="44"/>
      <c r="D28" s="44"/>
      <c r="E28" s="44"/>
    </row>
    <row r="29" spans="1:5" x14ac:dyDescent="0.3">
      <c r="A29" s="45"/>
      <c r="B29" s="45"/>
      <c r="C29" s="45"/>
      <c r="D29" s="45"/>
      <c r="E29" s="45"/>
    </row>
    <row r="30" spans="1:5" x14ac:dyDescent="0.3">
      <c r="A30" s="45"/>
      <c r="B30" s="45"/>
      <c r="C30" s="45"/>
      <c r="D30" s="45"/>
      <c r="E30" s="45"/>
    </row>
    <row r="31" spans="1:5" x14ac:dyDescent="0.3">
      <c r="A31" s="45"/>
      <c r="B31" s="45"/>
      <c r="C31" s="45"/>
      <c r="D31" s="45"/>
      <c r="E31" s="45"/>
    </row>
  </sheetData>
  <mergeCells count="1">
    <mergeCell ref="A27:E2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003D-C157-45F6-A685-A292DB8EE6B8}">
  <dimension ref="A1:J94"/>
  <sheetViews>
    <sheetView workbookViewId="0">
      <selection activeCell="F13" sqref="F13"/>
    </sheetView>
  </sheetViews>
  <sheetFormatPr defaultRowHeight="14.4" x14ac:dyDescent="0.3"/>
  <cols>
    <col min="1" max="1" width="22.6640625" bestFit="1" customWidth="1"/>
    <col min="2" max="2" width="46.88671875" bestFit="1" customWidth="1"/>
  </cols>
  <sheetData>
    <row r="1" spans="1:10" x14ac:dyDescent="0.3">
      <c r="A1" s="27" t="s">
        <v>503</v>
      </c>
      <c r="B1" t="s">
        <v>506</v>
      </c>
    </row>
    <row r="3" spans="1:10" x14ac:dyDescent="0.3">
      <c r="A3" s="27" t="s">
        <v>495</v>
      </c>
      <c r="B3" t="s">
        <v>505</v>
      </c>
      <c r="D3" s="44" t="s">
        <v>507</v>
      </c>
      <c r="E3" s="44"/>
      <c r="F3" s="44"/>
      <c r="G3" s="44"/>
      <c r="H3" s="44"/>
      <c r="I3" s="44"/>
      <c r="J3" s="44"/>
    </row>
    <row r="4" spans="1:10" x14ac:dyDescent="0.3">
      <c r="A4" s="28" t="s">
        <v>84</v>
      </c>
      <c r="B4" s="30">
        <v>1</v>
      </c>
      <c r="D4" s="44"/>
      <c r="E4" s="44"/>
      <c r="F4" s="44"/>
      <c r="G4" s="44"/>
      <c r="H4" s="44"/>
      <c r="I4" s="44"/>
      <c r="J4" s="44"/>
    </row>
    <row r="5" spans="1:10" x14ac:dyDescent="0.3">
      <c r="A5" s="28" t="s">
        <v>111</v>
      </c>
      <c r="B5" s="30">
        <v>1</v>
      </c>
    </row>
    <row r="6" spans="1:10" x14ac:dyDescent="0.3">
      <c r="A6" s="28" t="s">
        <v>292</v>
      </c>
      <c r="B6" s="30">
        <v>1</v>
      </c>
    </row>
    <row r="7" spans="1:10" x14ac:dyDescent="0.3">
      <c r="A7" s="28" t="s">
        <v>56</v>
      </c>
      <c r="B7" s="30">
        <v>1</v>
      </c>
    </row>
    <row r="8" spans="1:10" x14ac:dyDescent="0.3">
      <c r="A8" s="28" t="s">
        <v>72</v>
      </c>
      <c r="B8" s="30">
        <v>1</v>
      </c>
    </row>
    <row r="9" spans="1:10" x14ac:dyDescent="0.3">
      <c r="A9" s="28" t="s">
        <v>176</v>
      </c>
      <c r="B9" s="30">
        <v>1</v>
      </c>
    </row>
    <row r="10" spans="1:10" x14ac:dyDescent="0.3">
      <c r="A10" s="28" t="s">
        <v>26</v>
      </c>
      <c r="B10" s="30">
        <v>1</v>
      </c>
    </row>
    <row r="11" spans="1:10" x14ac:dyDescent="0.3">
      <c r="A11" s="28" t="s">
        <v>260</v>
      </c>
      <c r="B11" s="30">
        <v>1</v>
      </c>
    </row>
    <row r="12" spans="1:10" x14ac:dyDescent="0.3">
      <c r="A12" s="28" t="s">
        <v>204</v>
      </c>
      <c r="B12" s="30">
        <v>1</v>
      </c>
    </row>
    <row r="13" spans="1:10" x14ac:dyDescent="0.3">
      <c r="A13" s="28" t="s">
        <v>104</v>
      </c>
      <c r="B13" s="30">
        <v>1</v>
      </c>
    </row>
    <row r="14" spans="1:10" x14ac:dyDescent="0.3">
      <c r="A14" s="28" t="s">
        <v>43</v>
      </c>
      <c r="B14" s="30">
        <v>1</v>
      </c>
    </row>
    <row r="15" spans="1:10" x14ac:dyDescent="0.3">
      <c r="A15" s="28" t="s">
        <v>37</v>
      </c>
      <c r="B15" s="30">
        <v>1</v>
      </c>
    </row>
    <row r="16" spans="1:10" x14ac:dyDescent="0.3">
      <c r="A16" s="28" t="s">
        <v>50</v>
      </c>
      <c r="B16" s="30">
        <v>1</v>
      </c>
    </row>
    <row r="17" spans="1:2" x14ac:dyDescent="0.3">
      <c r="A17" s="28" t="s">
        <v>274</v>
      </c>
      <c r="B17" s="30">
        <v>1</v>
      </c>
    </row>
    <row r="18" spans="1:2" x14ac:dyDescent="0.3">
      <c r="A18" s="28" t="s">
        <v>123</v>
      </c>
      <c r="B18" s="30">
        <v>1</v>
      </c>
    </row>
    <row r="19" spans="1:2" x14ac:dyDescent="0.3">
      <c r="A19" s="28" t="s">
        <v>69</v>
      </c>
      <c r="B19" s="30">
        <v>1</v>
      </c>
    </row>
    <row r="20" spans="1:2" x14ac:dyDescent="0.3">
      <c r="A20" s="28" t="s">
        <v>209</v>
      </c>
      <c r="B20" s="30">
        <v>1</v>
      </c>
    </row>
    <row r="21" spans="1:2" x14ac:dyDescent="0.3">
      <c r="A21" s="28" t="s">
        <v>221</v>
      </c>
      <c r="B21" s="30">
        <v>1</v>
      </c>
    </row>
    <row r="22" spans="1:2" x14ac:dyDescent="0.3">
      <c r="A22" s="28" t="s">
        <v>230</v>
      </c>
      <c r="B22" s="30">
        <v>1</v>
      </c>
    </row>
    <row r="23" spans="1:2" x14ac:dyDescent="0.3">
      <c r="A23" s="28" t="s">
        <v>14</v>
      </c>
      <c r="B23" s="30">
        <v>1</v>
      </c>
    </row>
    <row r="24" spans="1:2" x14ac:dyDescent="0.3">
      <c r="A24" s="28" t="s">
        <v>126</v>
      </c>
      <c r="B24" s="30">
        <v>1</v>
      </c>
    </row>
    <row r="25" spans="1:2" x14ac:dyDescent="0.3">
      <c r="A25" s="28" t="s">
        <v>224</v>
      </c>
      <c r="B25" s="30">
        <v>1</v>
      </c>
    </row>
    <row r="26" spans="1:2" x14ac:dyDescent="0.3">
      <c r="A26" s="28" t="s">
        <v>46</v>
      </c>
      <c r="B26" s="30">
        <v>1</v>
      </c>
    </row>
    <row r="27" spans="1:2" x14ac:dyDescent="0.3">
      <c r="A27" s="28" t="s">
        <v>227</v>
      </c>
      <c r="B27" s="30">
        <v>1</v>
      </c>
    </row>
    <row r="28" spans="1:2" x14ac:dyDescent="0.3">
      <c r="A28" s="28" t="s">
        <v>92</v>
      </c>
      <c r="B28" s="30">
        <v>1</v>
      </c>
    </row>
    <row r="29" spans="1:2" x14ac:dyDescent="0.3">
      <c r="A29" s="28" t="s">
        <v>180</v>
      </c>
      <c r="B29" s="30">
        <v>1</v>
      </c>
    </row>
    <row r="30" spans="1:2" x14ac:dyDescent="0.3">
      <c r="A30" s="28" t="s">
        <v>257</v>
      </c>
      <c r="B30" s="30">
        <v>1</v>
      </c>
    </row>
    <row r="31" spans="1:2" x14ac:dyDescent="0.3">
      <c r="A31" s="28" t="s">
        <v>87</v>
      </c>
      <c r="B31" s="30">
        <v>1</v>
      </c>
    </row>
    <row r="32" spans="1:2" x14ac:dyDescent="0.3">
      <c r="A32" s="28" t="s">
        <v>20</v>
      </c>
      <c r="B32" s="30">
        <v>1</v>
      </c>
    </row>
    <row r="33" spans="1:2" x14ac:dyDescent="0.3">
      <c r="A33" s="28" t="s">
        <v>59</v>
      </c>
      <c r="B33" s="30">
        <v>1</v>
      </c>
    </row>
    <row r="34" spans="1:2" x14ac:dyDescent="0.3">
      <c r="A34" s="28" t="s">
        <v>173</v>
      </c>
      <c r="B34" s="30">
        <v>1</v>
      </c>
    </row>
    <row r="35" spans="1:2" x14ac:dyDescent="0.3">
      <c r="A35" s="28" t="s">
        <v>284</v>
      </c>
      <c r="B35" s="30">
        <v>1</v>
      </c>
    </row>
    <row r="36" spans="1:2" x14ac:dyDescent="0.3">
      <c r="A36" s="28" t="s">
        <v>66</v>
      </c>
      <c r="B36" s="30">
        <v>1</v>
      </c>
    </row>
    <row r="37" spans="1:2" x14ac:dyDescent="0.3">
      <c r="A37" s="28" t="s">
        <v>141</v>
      </c>
      <c r="B37" s="30">
        <v>1</v>
      </c>
    </row>
    <row r="38" spans="1:2" x14ac:dyDescent="0.3">
      <c r="A38" s="28" t="s">
        <v>337</v>
      </c>
      <c r="B38" s="30">
        <v>1</v>
      </c>
    </row>
    <row r="39" spans="1:2" x14ac:dyDescent="0.3">
      <c r="A39" s="28" t="s">
        <v>100</v>
      </c>
      <c r="B39" s="30">
        <v>1</v>
      </c>
    </row>
    <row r="40" spans="1:2" x14ac:dyDescent="0.3">
      <c r="A40" s="28" t="s">
        <v>248</v>
      </c>
      <c r="B40" s="30">
        <v>1</v>
      </c>
    </row>
    <row r="41" spans="1:2" x14ac:dyDescent="0.3">
      <c r="A41" s="28" t="s">
        <v>251</v>
      </c>
      <c r="B41" s="30">
        <v>1</v>
      </c>
    </row>
    <row r="42" spans="1:2" x14ac:dyDescent="0.3">
      <c r="A42" s="28" t="s">
        <v>371</v>
      </c>
      <c r="B42" s="30">
        <v>1</v>
      </c>
    </row>
    <row r="43" spans="1:2" x14ac:dyDescent="0.3">
      <c r="A43" s="28" t="s">
        <v>32</v>
      </c>
      <c r="B43" s="30">
        <v>1</v>
      </c>
    </row>
    <row r="44" spans="1:2" x14ac:dyDescent="0.3">
      <c r="A44" s="28" t="s">
        <v>138</v>
      </c>
      <c r="B44" s="30">
        <v>1</v>
      </c>
    </row>
    <row r="45" spans="1:2" x14ac:dyDescent="0.3">
      <c r="A45" s="28" t="s">
        <v>264</v>
      </c>
      <c r="B45" s="30">
        <v>1</v>
      </c>
    </row>
    <row r="46" spans="1:2" x14ac:dyDescent="0.3">
      <c r="A46" s="28" t="s">
        <v>301</v>
      </c>
      <c r="B46" s="30">
        <v>1</v>
      </c>
    </row>
    <row r="47" spans="1:2" x14ac:dyDescent="0.3">
      <c r="A47" s="28" t="s">
        <v>360</v>
      </c>
      <c r="B47" s="30">
        <v>1</v>
      </c>
    </row>
    <row r="48" spans="1:2" x14ac:dyDescent="0.3">
      <c r="A48" s="28" t="s">
        <v>62</v>
      </c>
      <c r="B48" s="30">
        <v>1</v>
      </c>
    </row>
    <row r="49" spans="1:2" x14ac:dyDescent="0.3">
      <c r="A49" s="28" t="s">
        <v>342</v>
      </c>
      <c r="B49" s="30">
        <v>1</v>
      </c>
    </row>
    <row r="50" spans="1:2" x14ac:dyDescent="0.3">
      <c r="A50" s="28" t="s">
        <v>368</v>
      </c>
      <c r="B50" s="30">
        <v>1</v>
      </c>
    </row>
    <row r="51" spans="1:2" x14ac:dyDescent="0.3">
      <c r="A51" s="28" t="s">
        <v>281</v>
      </c>
      <c r="B51" s="30">
        <v>1</v>
      </c>
    </row>
    <row r="52" spans="1:2" x14ac:dyDescent="0.3">
      <c r="A52" s="28" t="s">
        <v>333</v>
      </c>
      <c r="B52" s="30">
        <v>1</v>
      </c>
    </row>
    <row r="53" spans="1:2" x14ac:dyDescent="0.3">
      <c r="A53" s="28" t="s">
        <v>131</v>
      </c>
      <c r="B53" s="30">
        <v>1</v>
      </c>
    </row>
    <row r="54" spans="1:2" x14ac:dyDescent="0.3">
      <c r="A54" s="28" t="s">
        <v>51</v>
      </c>
      <c r="B54" s="30">
        <v>1</v>
      </c>
    </row>
    <row r="55" spans="1:2" x14ac:dyDescent="0.3">
      <c r="A55" s="28" t="s">
        <v>205</v>
      </c>
      <c r="B55" s="30">
        <v>1</v>
      </c>
    </row>
    <row r="56" spans="1:2" x14ac:dyDescent="0.3">
      <c r="A56" s="28" t="s">
        <v>33</v>
      </c>
      <c r="B56" s="30">
        <v>1</v>
      </c>
    </row>
    <row r="57" spans="1:2" x14ac:dyDescent="0.3">
      <c r="A57" s="28" t="s">
        <v>278</v>
      </c>
      <c r="B57" s="30">
        <v>1</v>
      </c>
    </row>
    <row r="58" spans="1:2" x14ac:dyDescent="0.3">
      <c r="A58" s="28" t="s">
        <v>117</v>
      </c>
      <c r="B58" s="30">
        <v>1</v>
      </c>
    </row>
    <row r="59" spans="1:2" x14ac:dyDescent="0.3">
      <c r="A59" s="28" t="s">
        <v>27</v>
      </c>
      <c r="B59" s="30">
        <v>1</v>
      </c>
    </row>
    <row r="60" spans="1:2" x14ac:dyDescent="0.3">
      <c r="A60" s="28" t="s">
        <v>275</v>
      </c>
      <c r="B60" s="30">
        <v>1</v>
      </c>
    </row>
    <row r="61" spans="1:2" x14ac:dyDescent="0.3">
      <c r="A61" s="28" t="s">
        <v>132</v>
      </c>
      <c r="B61" s="30">
        <v>1</v>
      </c>
    </row>
    <row r="62" spans="1:2" x14ac:dyDescent="0.3">
      <c r="A62" s="28" t="s">
        <v>200</v>
      </c>
      <c r="B62" s="30">
        <v>1</v>
      </c>
    </row>
    <row r="63" spans="1:2" x14ac:dyDescent="0.3">
      <c r="A63" s="28" t="s">
        <v>63</v>
      </c>
      <c r="B63" s="30">
        <v>1</v>
      </c>
    </row>
    <row r="64" spans="1:2" x14ac:dyDescent="0.3">
      <c r="A64" s="28" t="s">
        <v>108</v>
      </c>
      <c r="B64" s="30">
        <v>1</v>
      </c>
    </row>
    <row r="65" spans="1:2" x14ac:dyDescent="0.3">
      <c r="A65" s="28" t="s">
        <v>388</v>
      </c>
      <c r="B65" s="30">
        <v>1</v>
      </c>
    </row>
    <row r="66" spans="1:2" x14ac:dyDescent="0.3">
      <c r="A66" s="28" t="s">
        <v>93</v>
      </c>
      <c r="B66" s="30">
        <v>1</v>
      </c>
    </row>
    <row r="67" spans="1:2" x14ac:dyDescent="0.3">
      <c r="A67" s="28" t="s">
        <v>215</v>
      </c>
      <c r="B67" s="30">
        <v>1</v>
      </c>
    </row>
    <row r="68" spans="1:2" x14ac:dyDescent="0.3">
      <c r="A68" s="28" t="s">
        <v>15</v>
      </c>
      <c r="B68" s="30">
        <v>1</v>
      </c>
    </row>
    <row r="69" spans="1:2" x14ac:dyDescent="0.3">
      <c r="A69" s="28" t="s">
        <v>239</v>
      </c>
      <c r="B69" s="30">
        <v>1</v>
      </c>
    </row>
    <row r="70" spans="1:2" x14ac:dyDescent="0.3">
      <c r="A70" s="28" t="s">
        <v>161</v>
      </c>
      <c r="B70" s="30">
        <v>1</v>
      </c>
    </row>
    <row r="71" spans="1:2" x14ac:dyDescent="0.3">
      <c r="A71" s="28" t="s">
        <v>177</v>
      </c>
      <c r="B71" s="30">
        <v>1</v>
      </c>
    </row>
    <row r="72" spans="1:2" x14ac:dyDescent="0.3">
      <c r="A72" s="28" t="s">
        <v>181</v>
      </c>
      <c r="B72" s="30">
        <v>1</v>
      </c>
    </row>
    <row r="73" spans="1:2" x14ac:dyDescent="0.3">
      <c r="A73" s="28" t="s">
        <v>21</v>
      </c>
      <c r="B73" s="30">
        <v>1</v>
      </c>
    </row>
    <row r="74" spans="1:2" x14ac:dyDescent="0.3">
      <c r="A74" s="28" t="s">
        <v>145</v>
      </c>
      <c r="B74" s="30">
        <v>1</v>
      </c>
    </row>
    <row r="75" spans="1:2" x14ac:dyDescent="0.3">
      <c r="A75" s="28" t="s">
        <v>164</v>
      </c>
      <c r="B75" s="30">
        <v>1</v>
      </c>
    </row>
    <row r="76" spans="1:2" x14ac:dyDescent="0.3">
      <c r="A76" s="28" t="s">
        <v>265</v>
      </c>
      <c r="B76" s="30">
        <v>1</v>
      </c>
    </row>
    <row r="77" spans="1:2" x14ac:dyDescent="0.3">
      <c r="A77" s="28" t="s">
        <v>105</v>
      </c>
      <c r="B77" s="30">
        <v>1</v>
      </c>
    </row>
    <row r="78" spans="1:2" x14ac:dyDescent="0.3">
      <c r="A78" s="28" t="s">
        <v>254</v>
      </c>
      <c r="B78" s="30">
        <v>1</v>
      </c>
    </row>
    <row r="79" spans="1:2" x14ac:dyDescent="0.3">
      <c r="A79" s="28" t="s">
        <v>77</v>
      </c>
      <c r="B79" s="30">
        <v>1</v>
      </c>
    </row>
    <row r="80" spans="1:2" x14ac:dyDescent="0.3">
      <c r="A80" s="28" t="s">
        <v>197</v>
      </c>
      <c r="B80" s="30">
        <v>1</v>
      </c>
    </row>
    <row r="81" spans="1:2" x14ac:dyDescent="0.3">
      <c r="A81" s="28" t="s">
        <v>78</v>
      </c>
      <c r="B81" s="30">
        <v>1</v>
      </c>
    </row>
    <row r="82" spans="1:2" x14ac:dyDescent="0.3">
      <c r="A82" s="28" t="s">
        <v>146</v>
      </c>
      <c r="B82" s="30">
        <v>1</v>
      </c>
    </row>
    <row r="83" spans="1:2" x14ac:dyDescent="0.3">
      <c r="A83" s="28" t="s">
        <v>73</v>
      </c>
      <c r="B83" s="30">
        <v>1</v>
      </c>
    </row>
    <row r="84" spans="1:2" x14ac:dyDescent="0.3">
      <c r="A84" s="28" t="s">
        <v>101</v>
      </c>
      <c r="B84" s="30">
        <v>1</v>
      </c>
    </row>
    <row r="85" spans="1:2" x14ac:dyDescent="0.3">
      <c r="A85" s="28" t="s">
        <v>236</v>
      </c>
      <c r="B85" s="30">
        <v>1</v>
      </c>
    </row>
    <row r="86" spans="1:2" x14ac:dyDescent="0.3">
      <c r="A86" s="28" t="s">
        <v>315</v>
      </c>
      <c r="B86" s="30">
        <v>1</v>
      </c>
    </row>
    <row r="87" spans="1:2" x14ac:dyDescent="0.3">
      <c r="A87" s="28" t="s">
        <v>94</v>
      </c>
      <c r="B87" s="30">
        <v>1</v>
      </c>
    </row>
    <row r="88" spans="1:2" x14ac:dyDescent="0.3">
      <c r="A88" s="28" t="s">
        <v>39</v>
      </c>
      <c r="B88" s="30">
        <v>1</v>
      </c>
    </row>
    <row r="89" spans="1:2" x14ac:dyDescent="0.3">
      <c r="A89" s="28" t="s">
        <v>120</v>
      </c>
      <c r="B89" s="30">
        <v>1</v>
      </c>
    </row>
    <row r="90" spans="1:2" x14ac:dyDescent="0.3">
      <c r="A90" s="28" t="s">
        <v>218</v>
      </c>
      <c r="B90" s="30">
        <v>1</v>
      </c>
    </row>
    <row r="91" spans="1:2" x14ac:dyDescent="0.3">
      <c r="A91" s="28" t="s">
        <v>153</v>
      </c>
      <c r="B91" s="30">
        <v>1</v>
      </c>
    </row>
    <row r="92" spans="1:2" x14ac:dyDescent="0.3">
      <c r="A92" s="28" t="s">
        <v>142</v>
      </c>
      <c r="B92" s="30">
        <v>1</v>
      </c>
    </row>
    <row r="93" spans="1:2" x14ac:dyDescent="0.3">
      <c r="A93" s="28" t="s">
        <v>318</v>
      </c>
      <c r="B93" s="30">
        <v>1</v>
      </c>
    </row>
    <row r="94" spans="1:2" x14ac:dyDescent="0.3">
      <c r="A94" s="28" t="s">
        <v>496</v>
      </c>
      <c r="B94" s="30">
        <v>90</v>
      </c>
    </row>
  </sheetData>
  <mergeCells count="1">
    <mergeCell ref="D3: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03C9-D572-404D-892D-208FE8F1283E}">
  <dimension ref="A3:K54"/>
  <sheetViews>
    <sheetView workbookViewId="0">
      <selection activeCell="J24" sqref="J24"/>
    </sheetView>
  </sheetViews>
  <sheetFormatPr defaultRowHeight="14.4" x14ac:dyDescent="0.3"/>
  <cols>
    <col min="1" max="1" width="12.44140625" bestFit="1" customWidth="1"/>
    <col min="2" max="2" width="22" bestFit="1" customWidth="1"/>
  </cols>
  <sheetData>
    <row r="3" spans="1:2" x14ac:dyDescent="0.3">
      <c r="A3" s="27" t="s">
        <v>495</v>
      </c>
      <c r="B3" t="s">
        <v>497</v>
      </c>
    </row>
    <row r="4" spans="1:2" x14ac:dyDescent="0.3">
      <c r="A4" s="28">
        <v>2015</v>
      </c>
      <c r="B4" s="30">
        <v>2</v>
      </c>
    </row>
    <row r="5" spans="1:2" x14ac:dyDescent="0.3">
      <c r="A5" s="29" t="s">
        <v>513</v>
      </c>
      <c r="B5" s="30">
        <v>1</v>
      </c>
    </row>
    <row r="6" spans="1:2" x14ac:dyDescent="0.3">
      <c r="A6" s="29" t="s">
        <v>514</v>
      </c>
      <c r="B6" s="30">
        <v>1</v>
      </c>
    </row>
    <row r="7" spans="1:2" x14ac:dyDescent="0.3">
      <c r="A7" s="28">
        <v>2016</v>
      </c>
      <c r="B7" s="30">
        <v>15</v>
      </c>
    </row>
    <row r="8" spans="1:2" x14ac:dyDescent="0.3">
      <c r="A8" s="29" t="s">
        <v>513</v>
      </c>
      <c r="B8" s="30">
        <v>3</v>
      </c>
    </row>
    <row r="9" spans="1:2" x14ac:dyDescent="0.3">
      <c r="A9" s="29" t="s">
        <v>515</v>
      </c>
      <c r="B9" s="30">
        <v>6</v>
      </c>
    </row>
    <row r="10" spans="1:2" x14ac:dyDescent="0.3">
      <c r="A10" s="29" t="s">
        <v>516</v>
      </c>
      <c r="B10" s="30">
        <v>2</v>
      </c>
    </row>
    <row r="11" spans="1:2" x14ac:dyDescent="0.3">
      <c r="A11" s="29" t="s">
        <v>514</v>
      </c>
      <c r="B11" s="30">
        <v>4</v>
      </c>
    </row>
    <row r="12" spans="1:2" x14ac:dyDescent="0.3">
      <c r="A12" s="28">
        <v>2017</v>
      </c>
      <c r="B12" s="30">
        <v>16</v>
      </c>
    </row>
    <row r="13" spans="1:2" x14ac:dyDescent="0.3">
      <c r="A13" s="29" t="s">
        <v>513</v>
      </c>
      <c r="B13" s="30">
        <v>6</v>
      </c>
    </row>
    <row r="14" spans="1:2" x14ac:dyDescent="0.3">
      <c r="A14" s="29" t="s">
        <v>515</v>
      </c>
      <c r="B14" s="30">
        <v>5</v>
      </c>
    </row>
    <row r="15" spans="1:2" x14ac:dyDescent="0.3">
      <c r="A15" s="29" t="s">
        <v>516</v>
      </c>
      <c r="B15" s="30">
        <v>3</v>
      </c>
    </row>
    <row r="16" spans="1:2" x14ac:dyDescent="0.3">
      <c r="A16" s="29" t="s">
        <v>514</v>
      </c>
      <c r="B16" s="30">
        <v>2</v>
      </c>
    </row>
    <row r="17" spans="1:11" x14ac:dyDescent="0.3">
      <c r="A17" s="28">
        <v>2018</v>
      </c>
      <c r="B17" s="30">
        <v>14</v>
      </c>
    </row>
    <row r="18" spans="1:11" x14ac:dyDescent="0.3">
      <c r="A18" s="29" t="s">
        <v>513</v>
      </c>
      <c r="B18" s="30">
        <v>4</v>
      </c>
    </row>
    <row r="19" spans="1:11" x14ac:dyDescent="0.3">
      <c r="A19" s="29" t="s">
        <v>515</v>
      </c>
      <c r="B19" s="30">
        <v>3</v>
      </c>
    </row>
    <row r="20" spans="1:11" x14ac:dyDescent="0.3">
      <c r="A20" s="29" t="s">
        <v>516</v>
      </c>
      <c r="B20" s="30">
        <v>3</v>
      </c>
      <c r="E20" s="44" t="s">
        <v>517</v>
      </c>
      <c r="F20" s="44"/>
      <c r="G20" s="44"/>
      <c r="H20" s="44"/>
      <c r="I20" s="44"/>
      <c r="J20" s="44"/>
      <c r="K20" s="44"/>
    </row>
    <row r="21" spans="1:11" x14ac:dyDescent="0.3">
      <c r="A21" s="29" t="s">
        <v>514</v>
      </c>
      <c r="B21" s="30">
        <v>4</v>
      </c>
      <c r="E21" s="44"/>
      <c r="F21" s="44"/>
      <c r="G21" s="44"/>
      <c r="H21" s="44"/>
      <c r="I21" s="44"/>
      <c r="J21" s="44"/>
      <c r="K21" s="44"/>
    </row>
    <row r="22" spans="1:11" x14ac:dyDescent="0.3">
      <c r="A22" s="28">
        <v>2019</v>
      </c>
      <c r="B22" s="30">
        <v>19</v>
      </c>
    </row>
    <row r="23" spans="1:11" x14ac:dyDescent="0.3">
      <c r="A23" s="29" t="s">
        <v>513</v>
      </c>
      <c r="B23" s="30">
        <v>5</v>
      </c>
    </row>
    <row r="24" spans="1:11" x14ac:dyDescent="0.3">
      <c r="A24" s="29" t="s">
        <v>515</v>
      </c>
      <c r="B24" s="30">
        <v>5</v>
      </c>
    </row>
    <row r="25" spans="1:11" x14ac:dyDescent="0.3">
      <c r="A25" s="29" t="s">
        <v>516</v>
      </c>
      <c r="B25" s="30">
        <v>3</v>
      </c>
    </row>
    <row r="26" spans="1:11" x14ac:dyDescent="0.3">
      <c r="A26" s="29" t="s">
        <v>514</v>
      </c>
      <c r="B26" s="30">
        <v>6</v>
      </c>
    </row>
    <row r="27" spans="1:11" x14ac:dyDescent="0.3">
      <c r="A27" s="28">
        <v>2020</v>
      </c>
      <c r="B27" s="30">
        <v>18</v>
      </c>
    </row>
    <row r="28" spans="1:11" x14ac:dyDescent="0.3">
      <c r="A28" s="29" t="s">
        <v>513</v>
      </c>
      <c r="B28" s="30">
        <v>7</v>
      </c>
    </row>
    <row r="29" spans="1:11" x14ac:dyDescent="0.3">
      <c r="A29" s="29" t="s">
        <v>515</v>
      </c>
      <c r="B29" s="30">
        <v>2</v>
      </c>
    </row>
    <row r="30" spans="1:11" x14ac:dyDescent="0.3">
      <c r="A30" s="29" t="s">
        <v>516</v>
      </c>
      <c r="B30" s="30">
        <v>6</v>
      </c>
    </row>
    <row r="31" spans="1:11" x14ac:dyDescent="0.3">
      <c r="A31" s="29" t="s">
        <v>514</v>
      </c>
      <c r="B31" s="30">
        <v>3</v>
      </c>
    </row>
    <row r="32" spans="1:11" x14ac:dyDescent="0.3">
      <c r="A32" s="28">
        <v>2021</v>
      </c>
      <c r="B32" s="30">
        <v>13</v>
      </c>
    </row>
    <row r="33" spans="1:2" x14ac:dyDescent="0.3">
      <c r="A33" s="29" t="s">
        <v>513</v>
      </c>
      <c r="B33" s="30">
        <v>5</v>
      </c>
    </row>
    <row r="34" spans="1:2" x14ac:dyDescent="0.3">
      <c r="A34" s="29" t="s">
        <v>515</v>
      </c>
      <c r="B34" s="30">
        <v>2</v>
      </c>
    </row>
    <row r="35" spans="1:2" x14ac:dyDescent="0.3">
      <c r="A35" s="29" t="s">
        <v>516</v>
      </c>
      <c r="B35" s="30">
        <v>4</v>
      </c>
    </row>
    <row r="36" spans="1:2" x14ac:dyDescent="0.3">
      <c r="A36" s="29" t="s">
        <v>514</v>
      </c>
      <c r="B36" s="30">
        <v>2</v>
      </c>
    </row>
    <row r="37" spans="1:2" x14ac:dyDescent="0.3">
      <c r="A37" s="28">
        <v>2022</v>
      </c>
      <c r="B37" s="30">
        <v>14</v>
      </c>
    </row>
    <row r="38" spans="1:2" x14ac:dyDescent="0.3">
      <c r="A38" s="29" t="s">
        <v>513</v>
      </c>
      <c r="B38" s="30">
        <v>6</v>
      </c>
    </row>
    <row r="39" spans="1:2" x14ac:dyDescent="0.3">
      <c r="A39" s="29" t="s">
        <v>515</v>
      </c>
      <c r="B39" s="30">
        <v>5</v>
      </c>
    </row>
    <row r="40" spans="1:2" x14ac:dyDescent="0.3">
      <c r="A40" s="29" t="s">
        <v>516</v>
      </c>
      <c r="B40" s="30">
        <v>2</v>
      </c>
    </row>
    <row r="41" spans="1:2" x14ac:dyDescent="0.3">
      <c r="A41" s="29" t="s">
        <v>514</v>
      </c>
      <c r="B41" s="30">
        <v>1</v>
      </c>
    </row>
    <row r="42" spans="1:2" x14ac:dyDescent="0.3">
      <c r="A42" s="28">
        <v>2023</v>
      </c>
      <c r="B42" s="30">
        <v>4</v>
      </c>
    </row>
    <row r="43" spans="1:2" x14ac:dyDescent="0.3">
      <c r="A43" s="29" t="s">
        <v>513</v>
      </c>
      <c r="B43" s="30">
        <v>2</v>
      </c>
    </row>
    <row r="44" spans="1:2" x14ac:dyDescent="0.3">
      <c r="A44" s="29" t="s">
        <v>515</v>
      </c>
      <c r="B44" s="30">
        <v>1</v>
      </c>
    </row>
    <row r="45" spans="1:2" x14ac:dyDescent="0.3">
      <c r="A45" s="29" t="s">
        <v>514</v>
      </c>
      <c r="B45" s="30">
        <v>1</v>
      </c>
    </row>
    <row r="46" spans="1:2" x14ac:dyDescent="0.3">
      <c r="A46" s="28">
        <v>2024</v>
      </c>
      <c r="B46" s="30">
        <v>4</v>
      </c>
    </row>
    <row r="47" spans="1:2" x14ac:dyDescent="0.3">
      <c r="A47" s="29" t="s">
        <v>513</v>
      </c>
      <c r="B47" s="30">
        <v>2</v>
      </c>
    </row>
    <row r="48" spans="1:2" x14ac:dyDescent="0.3">
      <c r="A48" s="29" t="s">
        <v>514</v>
      </c>
      <c r="B48" s="30">
        <v>2</v>
      </c>
    </row>
    <row r="49" spans="1:2" x14ac:dyDescent="0.3">
      <c r="A49" s="28">
        <v>2025</v>
      </c>
      <c r="B49" s="30">
        <v>8</v>
      </c>
    </row>
    <row r="50" spans="1:2" x14ac:dyDescent="0.3">
      <c r="A50" s="29" t="s">
        <v>513</v>
      </c>
      <c r="B50" s="30">
        <v>1</v>
      </c>
    </row>
    <row r="51" spans="1:2" x14ac:dyDescent="0.3">
      <c r="A51" s="29" t="s">
        <v>514</v>
      </c>
      <c r="B51" s="30">
        <v>7</v>
      </c>
    </row>
    <row r="52" spans="1:2" x14ac:dyDescent="0.3">
      <c r="A52" s="28" t="s">
        <v>511</v>
      </c>
      <c r="B52" s="30">
        <v>2</v>
      </c>
    </row>
    <row r="53" spans="1:2" x14ac:dyDescent="0.3">
      <c r="A53" s="29" t="s">
        <v>511</v>
      </c>
      <c r="B53" s="30">
        <v>2</v>
      </c>
    </row>
    <row r="54" spans="1:2" x14ac:dyDescent="0.3">
      <c r="A54" s="28" t="s">
        <v>496</v>
      </c>
      <c r="B54" s="30">
        <v>129</v>
      </c>
    </row>
  </sheetData>
  <mergeCells count="1">
    <mergeCell ref="E20:K2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44C5-D79A-4641-8FD5-99D8CCD01036}">
  <dimension ref="A1:S230"/>
  <sheetViews>
    <sheetView topLeftCell="D1" workbookViewId="0">
      <selection activeCell="P19" sqref="P19"/>
    </sheetView>
  </sheetViews>
  <sheetFormatPr defaultRowHeight="14.4" x14ac:dyDescent="0.3"/>
  <cols>
    <col min="1" max="1" width="22.44140625" bestFit="1" customWidth="1"/>
    <col min="2" max="2" width="16.88671875" bestFit="1" customWidth="1"/>
    <col min="3" max="3" width="26.44140625" hidden="1" customWidth="1"/>
    <col min="4" max="4" width="35.33203125" bestFit="1" customWidth="1"/>
    <col min="5" max="5" width="17.33203125" bestFit="1" customWidth="1"/>
    <col min="6" max="6" width="7.77734375" bestFit="1" customWidth="1"/>
    <col min="7" max="7" width="9.77734375" bestFit="1" customWidth="1"/>
    <col min="8" max="8" width="19.109375" hidden="1" customWidth="1"/>
    <col min="9" max="9" width="21.88671875" hidden="1" customWidth="1"/>
    <col min="10" max="10" width="27.6640625" bestFit="1" customWidth="1"/>
    <col min="11" max="11" width="13.88671875" bestFit="1" customWidth="1"/>
    <col min="12" max="12" width="14.44140625" style="31" customWidth="1"/>
    <col min="13" max="13" width="10.33203125" style="31" bestFit="1" customWidth="1"/>
    <col min="14" max="14" width="18.44140625" style="30" customWidth="1"/>
    <col min="15" max="15" width="14.88671875" customWidth="1"/>
    <col min="17" max="18" width="13.77734375" bestFit="1" customWidth="1"/>
    <col min="19" max="19" width="14.6640625" bestFit="1" customWidth="1"/>
  </cols>
  <sheetData>
    <row r="1" spans="1:19" ht="15" thickBot="1" x14ac:dyDescent="0.35">
      <c r="A1" t="s">
        <v>493</v>
      </c>
      <c r="B1" t="s">
        <v>1</v>
      </c>
      <c r="C1" t="s">
        <v>2</v>
      </c>
      <c r="D1" t="s">
        <v>494</v>
      </c>
      <c r="E1" t="s">
        <v>3</v>
      </c>
      <c r="F1" t="s">
        <v>4</v>
      </c>
      <c r="G1" t="s">
        <v>5</v>
      </c>
      <c r="H1" t="s">
        <v>509</v>
      </c>
      <c r="I1" t="s">
        <v>510</v>
      </c>
      <c r="J1" t="s">
        <v>512</v>
      </c>
      <c r="K1" t="s">
        <v>521</v>
      </c>
      <c r="L1" s="31" t="s">
        <v>399</v>
      </c>
      <c r="M1" s="31" t="s">
        <v>400</v>
      </c>
      <c r="N1" s="30" t="s">
        <v>665</v>
      </c>
      <c r="O1" t="s">
        <v>666</v>
      </c>
      <c r="Q1" s="75" t="s">
        <v>668</v>
      </c>
      <c r="R1" s="75"/>
      <c r="S1" s="66"/>
    </row>
    <row r="2" spans="1:19" ht="15" thickBot="1" x14ac:dyDescent="0.35">
      <c r="A2" s="30" t="s">
        <v>605</v>
      </c>
      <c r="B2" s="30" t="s">
        <v>226</v>
      </c>
      <c r="C2">
        <v>43810</v>
      </c>
      <c r="D2" s="63">
        <v>43810</v>
      </c>
      <c r="E2" s="30" t="s">
        <v>31</v>
      </c>
      <c r="F2" s="30" t="s">
        <v>208</v>
      </c>
      <c r="G2" s="30" t="s">
        <v>13</v>
      </c>
      <c r="H2">
        <v>2019</v>
      </c>
      <c r="I2" s="30" t="s">
        <v>514</v>
      </c>
      <c r="J2" s="30" t="s">
        <v>562</v>
      </c>
      <c r="K2" s="30" t="s">
        <v>227</v>
      </c>
      <c r="L2" s="31">
        <f>_xlfn.XLOOKUP(K2, Projects!$A:$A, Projects!$D:$D)</f>
        <v>45160</v>
      </c>
      <c r="M2" s="31">
        <f>_xlfn.XLOOKUP(K2, Projects!$A:$A, Projects!$F:$F)</f>
        <v>45991</v>
      </c>
      <c r="N2" s="30">
        <f t="shared" ref="N2:N65" si="0">COUNTIFS(A:A,A2, L:L,"&lt;="&amp;M2, M:M,"&gt;="&amp;L2)</f>
        <v>2</v>
      </c>
      <c r="O2" s="30" t="str">
        <f t="shared" ref="O2:O65" si="1">IF(N2&gt;2,"Overallocated","OK")</f>
        <v>OK</v>
      </c>
      <c r="Q2" s="70" t="s">
        <v>670</v>
      </c>
      <c r="R2" s="71" t="s">
        <v>669</v>
      </c>
    </row>
    <row r="3" spans="1:19" x14ac:dyDescent="0.3">
      <c r="A3" s="30" t="s">
        <v>633</v>
      </c>
      <c r="B3" s="30" t="s">
        <v>314</v>
      </c>
      <c r="C3">
        <v>44506</v>
      </c>
      <c r="D3" s="63">
        <v>44506</v>
      </c>
      <c r="E3" s="30" t="s">
        <v>54</v>
      </c>
      <c r="F3" s="30" t="s">
        <v>208</v>
      </c>
      <c r="G3" s="30" t="s">
        <v>13</v>
      </c>
      <c r="H3">
        <v>2021</v>
      </c>
      <c r="I3" s="30" t="s">
        <v>514</v>
      </c>
      <c r="J3" s="30" t="s">
        <v>575</v>
      </c>
      <c r="K3" s="30" t="s">
        <v>227</v>
      </c>
      <c r="L3" s="31">
        <f>_xlfn.XLOOKUP(K3, Projects!$A:$A, Projects!$D:$D)</f>
        <v>45160</v>
      </c>
      <c r="M3" s="31">
        <f>_xlfn.XLOOKUP(K3, Projects!$A:$A, Projects!$F:$F)</f>
        <v>45991</v>
      </c>
      <c r="N3" s="30">
        <f t="shared" si="0"/>
        <v>2</v>
      </c>
      <c r="O3" s="30" t="str">
        <f t="shared" si="1"/>
        <v>OK</v>
      </c>
      <c r="Q3" s="67" t="str" cm="1">
        <f t="array" ref="Q3:R12">_xlfn.UNIQUE(_xlfn._xlws.FILTER(CHOOSE({1,2}, A2:A200, B2:B200), O2:O200="Overallocated"))</f>
        <v>emp085</v>
      </c>
      <c r="R3" s="72" t="str">
        <v>Manav Kapoor</v>
      </c>
    </row>
    <row r="4" spans="1:19" x14ac:dyDescent="0.3">
      <c r="A4" s="30" t="s">
        <v>603</v>
      </c>
      <c r="B4" s="30" t="s">
        <v>220</v>
      </c>
      <c r="C4">
        <v>44361</v>
      </c>
      <c r="D4" s="63">
        <v>44361</v>
      </c>
      <c r="E4" s="30" t="s">
        <v>54</v>
      </c>
      <c r="F4" s="30" t="s">
        <v>193</v>
      </c>
      <c r="G4" s="30" t="s">
        <v>13</v>
      </c>
      <c r="H4">
        <v>2021</v>
      </c>
      <c r="I4" s="30" t="s">
        <v>515</v>
      </c>
      <c r="J4" s="30" t="s">
        <v>564</v>
      </c>
      <c r="K4" s="30" t="s">
        <v>221</v>
      </c>
      <c r="L4" s="31">
        <f>_xlfn.XLOOKUP(K4, Projects!$A:$A, Projects!$D:$D)</f>
        <v>45407</v>
      </c>
      <c r="M4" s="31">
        <f>_xlfn.XLOOKUP(K4, Projects!$A:$A, Projects!$F:$F)</f>
        <v>46081</v>
      </c>
      <c r="N4" s="30">
        <f t="shared" si="0"/>
        <v>2</v>
      </c>
      <c r="O4" s="30" t="str">
        <f t="shared" si="1"/>
        <v>OK</v>
      </c>
      <c r="Q4" s="68" t="str">
        <v>emp005</v>
      </c>
      <c r="R4" s="73" t="str">
        <v>Neha Malhotra</v>
      </c>
    </row>
    <row r="5" spans="1:19" x14ac:dyDescent="0.3">
      <c r="A5" s="30" t="s">
        <v>619</v>
      </c>
      <c r="B5" s="30" t="s">
        <v>271</v>
      </c>
      <c r="C5">
        <v>44733</v>
      </c>
      <c r="D5" s="63">
        <v>44733</v>
      </c>
      <c r="E5" s="30" t="s">
        <v>54</v>
      </c>
      <c r="F5" s="30" t="s">
        <v>193</v>
      </c>
      <c r="G5" s="30" t="s">
        <v>55</v>
      </c>
      <c r="H5">
        <v>2022</v>
      </c>
      <c r="I5" s="30" t="s">
        <v>515</v>
      </c>
      <c r="J5" s="30" t="s">
        <v>587</v>
      </c>
      <c r="K5" s="30" t="s">
        <v>221</v>
      </c>
      <c r="L5" s="31">
        <f>_xlfn.XLOOKUP(K5, Projects!$A:$A, Projects!$D:$D)</f>
        <v>45407</v>
      </c>
      <c r="M5" s="31">
        <f>_xlfn.XLOOKUP(K5, Projects!$A:$A, Projects!$F:$F)</f>
        <v>46081</v>
      </c>
      <c r="N5" s="30">
        <f t="shared" si="0"/>
        <v>1</v>
      </c>
      <c r="O5" s="30" t="str">
        <f t="shared" si="1"/>
        <v>OK</v>
      </c>
      <c r="Q5" s="68" t="str">
        <v>emp063</v>
      </c>
      <c r="R5" s="73" t="str">
        <v>Aditya Kapoor</v>
      </c>
    </row>
    <row r="6" spans="1:19" x14ac:dyDescent="0.3">
      <c r="A6" s="30" t="s">
        <v>616</v>
      </c>
      <c r="B6" s="30" t="s">
        <v>259</v>
      </c>
      <c r="C6">
        <v>44385</v>
      </c>
      <c r="D6" s="63">
        <v>44385</v>
      </c>
      <c r="E6" s="30" t="s">
        <v>54</v>
      </c>
      <c r="F6" s="30" t="s">
        <v>208</v>
      </c>
      <c r="G6" s="30" t="s">
        <v>13</v>
      </c>
      <c r="H6">
        <v>2021</v>
      </c>
      <c r="I6" s="30" t="s">
        <v>516</v>
      </c>
      <c r="J6" s="30" t="s">
        <v>549</v>
      </c>
      <c r="K6" s="30" t="s">
        <v>260</v>
      </c>
      <c r="L6" s="31">
        <f>_xlfn.XLOOKUP(K6, Projects!$A:$A, Projects!$D:$D)</f>
        <v>45425</v>
      </c>
      <c r="M6" s="31">
        <f>_xlfn.XLOOKUP(K6, Projects!$A:$A, Projects!$F:$F)</f>
        <v>46188</v>
      </c>
      <c r="N6" s="30">
        <f t="shared" si="0"/>
        <v>2</v>
      </c>
      <c r="O6" s="30" t="str">
        <f t="shared" si="1"/>
        <v>OK</v>
      </c>
      <c r="Q6" s="68" t="str">
        <v>emp015</v>
      </c>
      <c r="R6" s="73" t="str">
        <v>Nitin Arora</v>
      </c>
    </row>
    <row r="7" spans="1:19" x14ac:dyDescent="0.3">
      <c r="A7" s="30" t="s">
        <v>626</v>
      </c>
      <c r="B7" s="30" t="s">
        <v>294</v>
      </c>
      <c r="C7">
        <v>42713</v>
      </c>
      <c r="D7" s="63">
        <v>42713</v>
      </c>
      <c r="E7" s="30" t="s">
        <v>170</v>
      </c>
      <c r="F7" s="30" t="s">
        <v>189</v>
      </c>
      <c r="G7" s="30" t="s">
        <v>13</v>
      </c>
      <c r="H7">
        <v>2016</v>
      </c>
      <c r="I7" s="30" t="s">
        <v>514</v>
      </c>
      <c r="J7" s="30" t="s">
        <v>547</v>
      </c>
      <c r="K7" s="30" t="s">
        <v>260</v>
      </c>
      <c r="L7" s="31">
        <f>_xlfn.XLOOKUP(K7, Projects!$A:$A, Projects!$D:$D)</f>
        <v>45425</v>
      </c>
      <c r="M7" s="31">
        <f>_xlfn.XLOOKUP(K7, Projects!$A:$A, Projects!$F:$F)</f>
        <v>46188</v>
      </c>
      <c r="N7" s="30">
        <f t="shared" si="0"/>
        <v>3</v>
      </c>
      <c r="O7" s="30" t="str">
        <f t="shared" si="1"/>
        <v>Overallocated</v>
      </c>
      <c r="Q7" s="68" t="str">
        <v>emp036</v>
      </c>
      <c r="R7" s="73" t="str">
        <v>Meenal Kulkarni</v>
      </c>
    </row>
    <row r="8" spans="1:19" x14ac:dyDescent="0.3">
      <c r="A8" s="30" t="s">
        <v>638</v>
      </c>
      <c r="B8" s="30" t="s">
        <v>328</v>
      </c>
      <c r="C8">
        <v>44774</v>
      </c>
      <c r="D8" s="63">
        <v>44774</v>
      </c>
      <c r="E8" s="30" t="s">
        <v>54</v>
      </c>
      <c r="F8" s="30" t="s">
        <v>189</v>
      </c>
      <c r="G8" s="30" t="s">
        <v>55</v>
      </c>
      <c r="H8">
        <v>2022</v>
      </c>
      <c r="I8" s="30" t="s">
        <v>516</v>
      </c>
      <c r="J8" s="30" t="s">
        <v>558</v>
      </c>
      <c r="K8" s="30" t="s">
        <v>260</v>
      </c>
      <c r="L8" s="31">
        <f>_xlfn.XLOOKUP(K8, Projects!$A:$A, Projects!$D:$D)</f>
        <v>45425</v>
      </c>
      <c r="M8" s="31">
        <f>_xlfn.XLOOKUP(K8, Projects!$A:$A, Projects!$F:$F)</f>
        <v>46188</v>
      </c>
      <c r="N8" s="30">
        <f t="shared" si="0"/>
        <v>1</v>
      </c>
      <c r="O8" s="30" t="str">
        <f t="shared" si="1"/>
        <v>OK</v>
      </c>
      <c r="Q8" s="68" t="str">
        <v>emp123</v>
      </c>
      <c r="R8" s="73" t="str">
        <v>Srishti Jain</v>
      </c>
    </row>
    <row r="9" spans="1:19" x14ac:dyDescent="0.3">
      <c r="A9" s="30" t="s">
        <v>529</v>
      </c>
      <c r="B9" s="30" t="s">
        <v>35</v>
      </c>
      <c r="C9">
        <v>45017</v>
      </c>
      <c r="D9" s="63">
        <v>45017</v>
      </c>
      <c r="E9" s="30" t="s">
        <v>36</v>
      </c>
      <c r="F9" s="30" t="s">
        <v>12</v>
      </c>
      <c r="G9" s="30" t="s">
        <v>13</v>
      </c>
      <c r="H9">
        <v>2023</v>
      </c>
      <c r="I9" s="30" t="s">
        <v>515</v>
      </c>
      <c r="J9" s="30" t="s">
        <v>530</v>
      </c>
      <c r="K9" s="30" t="s">
        <v>39</v>
      </c>
      <c r="L9" s="31">
        <f>_xlfn.XLOOKUP(K9, Projects!$A:$A, Projects!$D:$D)</f>
        <v>45428</v>
      </c>
      <c r="M9" s="31">
        <f>_xlfn.XLOOKUP(K9, Projects!$A:$A, Projects!$F:$F)</f>
        <v>46262</v>
      </c>
      <c r="N9" s="30">
        <f t="shared" si="0"/>
        <v>3</v>
      </c>
      <c r="O9" s="30" t="str">
        <f t="shared" si="1"/>
        <v>Overallocated</v>
      </c>
      <c r="Q9" s="68" t="str">
        <v>emp046</v>
      </c>
      <c r="R9" s="73" t="str">
        <v>Neetu Sharma</v>
      </c>
    </row>
    <row r="10" spans="1:19" x14ac:dyDescent="0.3">
      <c r="A10" s="30" t="s">
        <v>355</v>
      </c>
      <c r="B10" s="30" t="s">
        <v>356</v>
      </c>
      <c r="C10">
        <v>45281</v>
      </c>
      <c r="D10" s="63">
        <v>45281</v>
      </c>
      <c r="E10" s="30" t="s">
        <v>24</v>
      </c>
      <c r="F10" s="30" t="s">
        <v>12</v>
      </c>
      <c r="G10" s="30" t="s">
        <v>13</v>
      </c>
      <c r="H10">
        <v>2023</v>
      </c>
      <c r="I10" s="30" t="s">
        <v>514</v>
      </c>
      <c r="J10" s="30" t="s">
        <v>648</v>
      </c>
      <c r="K10" s="30" t="s">
        <v>39</v>
      </c>
      <c r="L10" s="31">
        <f>_xlfn.XLOOKUP(K10, Projects!$A:$A, Projects!$D:$D)</f>
        <v>45428</v>
      </c>
      <c r="M10" s="31">
        <f>_xlfn.XLOOKUP(K10, Projects!$A:$A, Projects!$F:$F)</f>
        <v>46262</v>
      </c>
      <c r="N10" s="30">
        <f t="shared" si="0"/>
        <v>2</v>
      </c>
      <c r="O10" s="30" t="str">
        <f t="shared" si="1"/>
        <v>OK</v>
      </c>
      <c r="Q10" s="68" t="str">
        <v>emp059</v>
      </c>
      <c r="R10" s="73" t="str">
        <v>Kunal Verma</v>
      </c>
    </row>
    <row r="11" spans="1:19" x14ac:dyDescent="0.3">
      <c r="A11" s="30" t="s">
        <v>525</v>
      </c>
      <c r="B11" s="30" t="s">
        <v>23</v>
      </c>
      <c r="C11">
        <v>44022</v>
      </c>
      <c r="D11" s="63">
        <v>44022</v>
      </c>
      <c r="E11" s="30" t="s">
        <v>24</v>
      </c>
      <c r="F11" s="30" t="s">
        <v>25</v>
      </c>
      <c r="G11" s="30" t="s">
        <v>13</v>
      </c>
      <c r="H11">
        <v>2020</v>
      </c>
      <c r="I11" s="30" t="s">
        <v>516</v>
      </c>
      <c r="J11" s="30" t="s">
        <v>526</v>
      </c>
      <c r="K11" s="30" t="s">
        <v>26</v>
      </c>
      <c r="L11" s="31">
        <f>_xlfn.XLOOKUP(K11, Projects!$A:$A, Projects!$D:$D)</f>
        <v>45458</v>
      </c>
      <c r="M11" s="31">
        <f>_xlfn.XLOOKUP(K11, Projects!$A:$A, Projects!$F:$F)</f>
        <v>46265</v>
      </c>
      <c r="N11" s="30">
        <f t="shared" si="0"/>
        <v>2</v>
      </c>
      <c r="O11" s="30" t="str">
        <f t="shared" si="1"/>
        <v>OK</v>
      </c>
      <c r="Q11" s="68" t="str">
        <v>emp130</v>
      </c>
      <c r="R11" s="73" t="str">
        <v>Priya Ratwani</v>
      </c>
    </row>
    <row r="12" spans="1:19" ht="15" thickBot="1" x14ac:dyDescent="0.35">
      <c r="A12" s="30" t="s">
        <v>551</v>
      </c>
      <c r="B12" s="30" t="s">
        <v>89</v>
      </c>
      <c r="C12">
        <v>44123</v>
      </c>
      <c r="D12" s="63">
        <v>44123</v>
      </c>
      <c r="E12" s="30" t="s">
        <v>31</v>
      </c>
      <c r="F12" s="30" t="s">
        <v>25</v>
      </c>
      <c r="G12" s="30" t="s">
        <v>13</v>
      </c>
      <c r="H12">
        <v>2020</v>
      </c>
      <c r="I12" s="30" t="s">
        <v>514</v>
      </c>
      <c r="J12" s="30" t="s">
        <v>552</v>
      </c>
      <c r="K12" s="30" t="s">
        <v>26</v>
      </c>
      <c r="L12" s="31">
        <f>_xlfn.XLOOKUP(K12, Projects!$A:$A, Projects!$D:$D)</f>
        <v>45458</v>
      </c>
      <c r="M12" s="31">
        <f>_xlfn.XLOOKUP(K12, Projects!$A:$A, Projects!$F:$F)</f>
        <v>46265</v>
      </c>
      <c r="N12" s="30">
        <f t="shared" si="0"/>
        <v>2</v>
      </c>
      <c r="O12" s="30" t="str">
        <f t="shared" si="1"/>
        <v>OK</v>
      </c>
      <c r="Q12" s="69" t="str">
        <v>emp073</v>
      </c>
      <c r="R12" s="74" t="str">
        <v>Parth Shah</v>
      </c>
    </row>
    <row r="13" spans="1:19" x14ac:dyDescent="0.3">
      <c r="A13" s="30" t="s">
        <v>561</v>
      </c>
      <c r="B13" s="30" t="s">
        <v>116</v>
      </c>
      <c r="C13">
        <v>43777</v>
      </c>
      <c r="D13" s="63">
        <v>43777</v>
      </c>
      <c r="E13" s="30" t="s">
        <v>31</v>
      </c>
      <c r="F13" s="30" t="s">
        <v>12</v>
      </c>
      <c r="G13" s="30" t="s">
        <v>13</v>
      </c>
      <c r="H13">
        <v>2019</v>
      </c>
      <c r="I13" s="30" t="s">
        <v>514</v>
      </c>
      <c r="J13" s="30" t="s">
        <v>562</v>
      </c>
      <c r="K13" s="30" t="s">
        <v>26</v>
      </c>
      <c r="L13" s="31">
        <f>_xlfn.XLOOKUP(K13, Projects!$A:$A, Projects!$D:$D)</f>
        <v>45458</v>
      </c>
      <c r="M13" s="31">
        <f>_xlfn.XLOOKUP(K13, Projects!$A:$A, Projects!$F:$F)</f>
        <v>46265</v>
      </c>
      <c r="N13" s="30">
        <f t="shared" si="0"/>
        <v>2</v>
      </c>
      <c r="O13" s="30" t="str">
        <f t="shared" si="1"/>
        <v>OK</v>
      </c>
    </row>
    <row r="14" spans="1:19" x14ac:dyDescent="0.3">
      <c r="A14" s="30" t="s">
        <v>606</v>
      </c>
      <c r="B14" s="30" t="s">
        <v>229</v>
      </c>
      <c r="C14">
        <v>42479</v>
      </c>
      <c r="D14" s="63">
        <v>42479</v>
      </c>
      <c r="E14" s="30" t="s">
        <v>24</v>
      </c>
      <c r="F14" s="30" t="s">
        <v>189</v>
      </c>
      <c r="G14" s="30" t="s">
        <v>13</v>
      </c>
      <c r="H14">
        <v>2016</v>
      </c>
      <c r="I14" s="30" t="s">
        <v>515</v>
      </c>
      <c r="J14" s="30" t="s">
        <v>571</v>
      </c>
      <c r="K14" s="30" t="s">
        <v>230</v>
      </c>
      <c r="L14" s="31">
        <f>_xlfn.XLOOKUP(K14, Projects!$A:$A, Projects!$D:$D)</f>
        <v>45474</v>
      </c>
      <c r="M14" s="31">
        <f>_xlfn.XLOOKUP(K14, Projects!$A:$A, Projects!$F:$F)</f>
        <v>45992</v>
      </c>
      <c r="N14" s="30">
        <f t="shared" si="0"/>
        <v>3</v>
      </c>
      <c r="O14" s="30" t="str">
        <f t="shared" si="1"/>
        <v>Overallocated</v>
      </c>
    </row>
    <row r="15" spans="1:19" ht="14.4" customHeight="1" x14ac:dyDescent="0.3">
      <c r="A15" s="30" t="s">
        <v>614</v>
      </c>
      <c r="B15" s="30" t="s">
        <v>253</v>
      </c>
      <c r="C15">
        <v>43437</v>
      </c>
      <c r="D15" s="63">
        <v>43437</v>
      </c>
      <c r="E15" s="30" t="s">
        <v>31</v>
      </c>
      <c r="F15" s="30" t="s">
        <v>189</v>
      </c>
      <c r="G15" s="30" t="s">
        <v>13</v>
      </c>
      <c r="H15">
        <v>2018</v>
      </c>
      <c r="I15" s="30" t="s">
        <v>514</v>
      </c>
      <c r="J15" s="30" t="s">
        <v>532</v>
      </c>
      <c r="K15" s="30" t="s">
        <v>230</v>
      </c>
      <c r="L15" s="31">
        <f>_xlfn.XLOOKUP(K15, Projects!$A:$A, Projects!$D:$D)</f>
        <v>45474</v>
      </c>
      <c r="M15" s="31">
        <f>_xlfn.XLOOKUP(K15, Projects!$A:$A, Projects!$F:$F)</f>
        <v>45992</v>
      </c>
      <c r="N15" s="30">
        <f t="shared" si="0"/>
        <v>2</v>
      </c>
      <c r="O15" s="30" t="str">
        <f t="shared" si="1"/>
        <v>OK</v>
      </c>
      <c r="Q15" s="56" t="s">
        <v>667</v>
      </c>
      <c r="R15" s="56"/>
      <c r="S15" s="56"/>
    </row>
    <row r="16" spans="1:19" x14ac:dyDescent="0.3">
      <c r="A16" s="30" t="s">
        <v>632</v>
      </c>
      <c r="B16" s="30" t="s">
        <v>312</v>
      </c>
      <c r="C16">
        <v>42973</v>
      </c>
      <c r="D16" s="63">
        <v>42973</v>
      </c>
      <c r="E16" s="30" t="s">
        <v>170</v>
      </c>
      <c r="F16" s="30" t="s">
        <v>196</v>
      </c>
      <c r="G16" s="30" t="s">
        <v>13</v>
      </c>
      <c r="H16">
        <v>2017</v>
      </c>
      <c r="I16" s="30" t="s">
        <v>516</v>
      </c>
      <c r="J16" s="30" t="s">
        <v>604</v>
      </c>
      <c r="K16" s="30" t="s">
        <v>230</v>
      </c>
      <c r="L16" s="16">
        <f>_xlfn.XLOOKUP(K16, Projects!$A:$A, Projects!$D:$D)</f>
        <v>45474</v>
      </c>
      <c r="M16" s="31">
        <f>_xlfn.XLOOKUP(K16, Projects!$A:$A, Projects!$F:$F)</f>
        <v>45992</v>
      </c>
      <c r="N16" s="30">
        <f t="shared" si="0"/>
        <v>1</v>
      </c>
      <c r="O16" s="30" t="str">
        <f t="shared" si="1"/>
        <v>OK</v>
      </c>
      <c r="Q16" s="56"/>
      <c r="R16" s="56"/>
      <c r="S16" s="56"/>
    </row>
    <row r="17" spans="1:19" x14ac:dyDescent="0.3">
      <c r="A17" s="30" t="s">
        <v>543</v>
      </c>
      <c r="B17" s="30" t="s">
        <v>71</v>
      </c>
      <c r="C17">
        <v>42780</v>
      </c>
      <c r="D17" s="63">
        <v>42780</v>
      </c>
      <c r="E17" s="30" t="s">
        <v>31</v>
      </c>
      <c r="F17" s="30" t="s">
        <v>19</v>
      </c>
      <c r="G17" s="30" t="s">
        <v>13</v>
      </c>
      <c r="H17">
        <v>2017</v>
      </c>
      <c r="I17" s="30" t="s">
        <v>513</v>
      </c>
      <c r="J17" s="30" t="s">
        <v>544</v>
      </c>
      <c r="K17" s="30" t="s">
        <v>72</v>
      </c>
      <c r="L17" s="31">
        <f>_xlfn.XLOOKUP(K17, Projects!$A:$A, Projects!$D:$D)</f>
        <v>45510</v>
      </c>
      <c r="M17" s="31">
        <f>_xlfn.XLOOKUP(K17, Projects!$A:$A, Projects!$F:$F)</f>
        <v>46127</v>
      </c>
      <c r="N17" s="30">
        <f t="shared" si="0"/>
        <v>2</v>
      </c>
      <c r="O17" s="30" t="str">
        <f t="shared" si="1"/>
        <v>OK</v>
      </c>
      <c r="Q17" s="56"/>
      <c r="R17" s="56"/>
      <c r="S17" s="56"/>
    </row>
    <row r="18" spans="1:19" x14ac:dyDescent="0.3">
      <c r="A18" s="30" t="s">
        <v>598</v>
      </c>
      <c r="B18" s="30" t="s">
        <v>199</v>
      </c>
      <c r="C18">
        <v>44440</v>
      </c>
      <c r="D18" s="63">
        <v>44440</v>
      </c>
      <c r="E18" s="30" t="s">
        <v>31</v>
      </c>
      <c r="F18" s="30" t="s">
        <v>189</v>
      </c>
      <c r="G18" s="30" t="s">
        <v>13</v>
      </c>
      <c r="H18">
        <v>2021</v>
      </c>
      <c r="I18" s="30" t="s">
        <v>516</v>
      </c>
      <c r="J18" s="30" t="s">
        <v>549</v>
      </c>
      <c r="K18" s="30" t="s">
        <v>72</v>
      </c>
      <c r="L18" s="31">
        <f>_xlfn.XLOOKUP(K18, Projects!$A:$A, Projects!$D:$D)</f>
        <v>45510</v>
      </c>
      <c r="M18" s="31">
        <f>_xlfn.XLOOKUP(K18, Projects!$A:$A, Projects!$F:$F)</f>
        <v>46127</v>
      </c>
      <c r="N18" s="30">
        <f t="shared" si="0"/>
        <v>2</v>
      </c>
      <c r="O18" s="30" t="str">
        <f t="shared" si="1"/>
        <v>OK</v>
      </c>
      <c r="Q18" s="56"/>
      <c r="R18" s="56"/>
      <c r="S18" s="56"/>
    </row>
    <row r="19" spans="1:19" x14ac:dyDescent="0.3">
      <c r="A19" s="30" t="s">
        <v>624</v>
      </c>
      <c r="B19" s="30" t="s">
        <v>289</v>
      </c>
      <c r="C19">
        <v>43340</v>
      </c>
      <c r="D19" s="63">
        <v>43340</v>
      </c>
      <c r="E19" s="30" t="s">
        <v>31</v>
      </c>
      <c r="F19" s="30" t="s">
        <v>196</v>
      </c>
      <c r="G19" s="30" t="s">
        <v>13</v>
      </c>
      <c r="H19">
        <v>2018</v>
      </c>
      <c r="I19" s="30" t="s">
        <v>516</v>
      </c>
      <c r="J19" s="30" t="s">
        <v>566</v>
      </c>
      <c r="K19" s="30" t="s">
        <v>72</v>
      </c>
      <c r="L19" s="31">
        <f>_xlfn.XLOOKUP(K19, Projects!$A:$A, Projects!$D:$D)</f>
        <v>45510</v>
      </c>
      <c r="M19" s="31">
        <f>_xlfn.XLOOKUP(K19, Projects!$A:$A, Projects!$F:$F)</f>
        <v>46127</v>
      </c>
      <c r="N19" s="30">
        <f t="shared" si="0"/>
        <v>1</v>
      </c>
      <c r="O19" s="30" t="str">
        <f t="shared" si="1"/>
        <v>OK</v>
      </c>
      <c r="Q19" s="56"/>
      <c r="R19" s="56"/>
      <c r="S19" s="56"/>
    </row>
    <row r="20" spans="1:19" x14ac:dyDescent="0.3">
      <c r="A20" s="30" t="s">
        <v>608</v>
      </c>
      <c r="B20" s="30" t="s">
        <v>234</v>
      </c>
      <c r="C20" t="s">
        <v>235</v>
      </c>
      <c r="D20" s="63">
        <v>43395</v>
      </c>
      <c r="E20" s="30" t="s">
        <v>31</v>
      </c>
      <c r="F20" s="30" t="s">
        <v>196</v>
      </c>
      <c r="G20" s="30" t="s">
        <v>13</v>
      </c>
      <c r="H20">
        <v>2018</v>
      </c>
      <c r="I20" s="30" t="s">
        <v>514</v>
      </c>
      <c r="J20" s="30" t="s">
        <v>532</v>
      </c>
      <c r="K20" s="30" t="s">
        <v>236</v>
      </c>
      <c r="L20" s="31">
        <f>_xlfn.XLOOKUP(K20, Projects!$A:$A, Projects!$D:$D)</f>
        <v>45519</v>
      </c>
      <c r="M20" s="64" t="str">
        <f>_xlfn.XLOOKUP(K20, Projects!$A:$A, Projects!$F:$F)</f>
        <v>TBD</v>
      </c>
      <c r="N20" s="30">
        <f t="shared" si="0"/>
        <v>0</v>
      </c>
      <c r="O20" s="30" t="str">
        <f t="shared" si="1"/>
        <v>OK</v>
      </c>
      <c r="Q20" s="76"/>
      <c r="R20" s="76"/>
      <c r="S20" s="76"/>
    </row>
    <row r="21" spans="1:19" x14ac:dyDescent="0.3">
      <c r="A21" s="30" t="s">
        <v>641</v>
      </c>
      <c r="B21" s="30" t="s">
        <v>335</v>
      </c>
      <c r="D21" s="63"/>
      <c r="E21" s="30" t="s">
        <v>18</v>
      </c>
      <c r="F21" s="30" t="s">
        <v>189</v>
      </c>
      <c r="G21" s="30" t="s">
        <v>336</v>
      </c>
      <c r="H21" t="s">
        <v>511</v>
      </c>
      <c r="I21" s="30" t="s">
        <v>511</v>
      </c>
      <c r="J21" s="30" t="s">
        <v>511</v>
      </c>
      <c r="K21" s="30" t="s">
        <v>338</v>
      </c>
      <c r="L21" s="31">
        <v>45519</v>
      </c>
      <c r="M21" s="64" t="s">
        <v>467</v>
      </c>
      <c r="N21" s="30">
        <f t="shared" si="0"/>
        <v>0</v>
      </c>
      <c r="O21" s="30" t="str">
        <f t="shared" si="1"/>
        <v>OK</v>
      </c>
      <c r="Q21" s="56" t="s">
        <v>671</v>
      </c>
      <c r="R21" s="56"/>
      <c r="S21" s="56"/>
    </row>
    <row r="22" spans="1:19" x14ac:dyDescent="0.3">
      <c r="A22" s="30" t="s">
        <v>590</v>
      </c>
      <c r="B22" s="30" t="s">
        <v>179</v>
      </c>
      <c r="C22">
        <v>43617</v>
      </c>
      <c r="D22" s="63">
        <v>43617</v>
      </c>
      <c r="E22" s="30" t="s">
        <v>54</v>
      </c>
      <c r="F22" s="30" t="s">
        <v>12</v>
      </c>
      <c r="G22" s="30" t="s">
        <v>13</v>
      </c>
      <c r="H22">
        <v>2019</v>
      </c>
      <c r="I22" s="30" t="s">
        <v>515</v>
      </c>
      <c r="J22" s="30" t="s">
        <v>591</v>
      </c>
      <c r="K22" s="30" t="s">
        <v>181</v>
      </c>
      <c r="L22" s="31">
        <f>_xlfn.XLOOKUP(K22, Projects!$A:$A, Projects!$D:$D)</f>
        <v>45580</v>
      </c>
      <c r="M22" s="31">
        <f>_xlfn.XLOOKUP(K22, Projects!$A:$A, Projects!$F:$F)</f>
        <v>46234</v>
      </c>
      <c r="N22" s="30">
        <f t="shared" si="0"/>
        <v>2</v>
      </c>
      <c r="O22" s="30" t="str">
        <f t="shared" si="1"/>
        <v>OK</v>
      </c>
      <c r="Q22" s="56"/>
      <c r="R22" s="56"/>
      <c r="S22" s="56"/>
    </row>
    <row r="23" spans="1:19" x14ac:dyDescent="0.3">
      <c r="A23" s="30" t="s">
        <v>626</v>
      </c>
      <c r="B23" s="30" t="s">
        <v>294</v>
      </c>
      <c r="C23">
        <v>42713</v>
      </c>
      <c r="D23" s="63">
        <v>42713</v>
      </c>
      <c r="E23" s="30" t="s">
        <v>170</v>
      </c>
      <c r="F23" s="30" t="s">
        <v>189</v>
      </c>
      <c r="G23" s="30" t="s">
        <v>13</v>
      </c>
      <c r="H23">
        <v>2016</v>
      </c>
      <c r="I23" s="30" t="s">
        <v>514</v>
      </c>
      <c r="J23" s="30" t="s">
        <v>547</v>
      </c>
      <c r="K23" s="30" t="s">
        <v>181</v>
      </c>
      <c r="L23" s="31">
        <f>_xlfn.XLOOKUP(K23, Projects!$A:$A, Projects!$D:$D)</f>
        <v>45580</v>
      </c>
      <c r="M23" s="31">
        <f>_xlfn.XLOOKUP(K23, Projects!$A:$A, Projects!$F:$F)</f>
        <v>46234</v>
      </c>
      <c r="N23" s="30">
        <f t="shared" si="0"/>
        <v>3</v>
      </c>
      <c r="O23" s="30" t="str">
        <f t="shared" si="1"/>
        <v>Overallocated</v>
      </c>
      <c r="Q23" s="56"/>
      <c r="R23" s="56"/>
      <c r="S23" s="56"/>
    </row>
    <row r="24" spans="1:19" ht="14.4" customHeight="1" x14ac:dyDescent="0.3">
      <c r="A24" s="30" t="s">
        <v>583</v>
      </c>
      <c r="B24" s="30" t="s">
        <v>163</v>
      </c>
      <c r="C24">
        <v>42389</v>
      </c>
      <c r="D24" s="63">
        <v>42389</v>
      </c>
      <c r="E24" s="30" t="s">
        <v>24</v>
      </c>
      <c r="F24" s="30" t="s">
        <v>25</v>
      </c>
      <c r="G24" s="30" t="s">
        <v>114</v>
      </c>
      <c r="H24">
        <v>2016</v>
      </c>
      <c r="I24" s="30" t="s">
        <v>513</v>
      </c>
      <c r="J24" s="30" t="s">
        <v>560</v>
      </c>
      <c r="K24" s="30" t="s">
        <v>164</v>
      </c>
      <c r="L24" s="31">
        <f>_xlfn.XLOOKUP(K24, Projects!$A:$A, Projects!$D:$D)</f>
        <v>45630</v>
      </c>
      <c r="M24" s="31">
        <f>_xlfn.XLOOKUP(K24, Projects!$A:$A, Projects!$F:$F)</f>
        <v>46102</v>
      </c>
      <c r="N24" s="30">
        <f t="shared" si="0"/>
        <v>2</v>
      </c>
      <c r="O24" s="30" t="str">
        <f t="shared" si="1"/>
        <v>OK</v>
      </c>
    </row>
    <row r="25" spans="1:19" x14ac:dyDescent="0.3">
      <c r="A25" s="30" t="s">
        <v>616</v>
      </c>
      <c r="B25" s="30" t="s">
        <v>259</v>
      </c>
      <c r="C25">
        <v>44385</v>
      </c>
      <c r="D25" s="63">
        <v>44385</v>
      </c>
      <c r="E25" s="30" t="s">
        <v>54</v>
      </c>
      <c r="F25" s="30" t="s">
        <v>208</v>
      </c>
      <c r="G25" s="30" t="s">
        <v>13</v>
      </c>
      <c r="H25">
        <v>2021</v>
      </c>
      <c r="I25" s="30" t="s">
        <v>516</v>
      </c>
      <c r="J25" s="30" t="s">
        <v>549</v>
      </c>
      <c r="K25" s="30" t="s">
        <v>164</v>
      </c>
      <c r="L25" s="31">
        <f>_xlfn.XLOOKUP(K25, Projects!$A:$A, Projects!$D:$D)</f>
        <v>45630</v>
      </c>
      <c r="M25" s="31">
        <f>_xlfn.XLOOKUP(K25, Projects!$A:$A, Projects!$F:$F)</f>
        <v>46102</v>
      </c>
      <c r="N25" s="30">
        <f t="shared" si="0"/>
        <v>2</v>
      </c>
      <c r="O25" s="30" t="str">
        <f t="shared" si="1"/>
        <v>OK</v>
      </c>
    </row>
    <row r="26" spans="1:19" x14ac:dyDescent="0.3">
      <c r="A26" s="30" t="s">
        <v>522</v>
      </c>
      <c r="B26" s="30" t="s">
        <v>10</v>
      </c>
      <c r="C26">
        <v>44562</v>
      </c>
      <c r="D26" s="63">
        <v>44562</v>
      </c>
      <c r="E26" s="30" t="s">
        <v>11</v>
      </c>
      <c r="F26" s="30" t="s">
        <v>12</v>
      </c>
      <c r="G26" s="30" t="s">
        <v>13</v>
      </c>
      <c r="H26">
        <v>2022</v>
      </c>
      <c r="I26" s="30" t="s">
        <v>513</v>
      </c>
      <c r="J26" s="30" t="s">
        <v>523</v>
      </c>
      <c r="K26" s="30" t="s">
        <v>14</v>
      </c>
      <c r="L26" s="31">
        <f>_xlfn.XLOOKUP(K26, Projects!$A:$A, Projects!$D:$D)</f>
        <v>45658</v>
      </c>
      <c r="M26" s="31">
        <f>_xlfn.XLOOKUP(K26, Projects!$A:$A, Projects!$F:$F)</f>
        <v>46053</v>
      </c>
      <c r="N26" s="30">
        <f t="shared" si="0"/>
        <v>1</v>
      </c>
      <c r="O26" s="30" t="str">
        <f t="shared" si="1"/>
        <v>OK</v>
      </c>
    </row>
    <row r="27" spans="1:19" x14ac:dyDescent="0.3">
      <c r="A27" s="30" t="s">
        <v>95</v>
      </c>
      <c r="B27" s="30" t="s">
        <v>96</v>
      </c>
      <c r="C27">
        <v>44207</v>
      </c>
      <c r="D27" s="63">
        <v>44207</v>
      </c>
      <c r="E27" s="30" t="s">
        <v>54</v>
      </c>
      <c r="F27" s="30" t="s">
        <v>12</v>
      </c>
      <c r="G27" s="30" t="s">
        <v>55</v>
      </c>
      <c r="H27">
        <v>2021</v>
      </c>
      <c r="I27" s="30" t="s">
        <v>513</v>
      </c>
      <c r="J27" s="30" t="s">
        <v>524</v>
      </c>
      <c r="K27" s="30" t="s">
        <v>14</v>
      </c>
      <c r="L27" s="31">
        <f>_xlfn.XLOOKUP(K27, Projects!$A:$A, Projects!$D:$D)</f>
        <v>45658</v>
      </c>
      <c r="M27" s="31">
        <f>_xlfn.XLOOKUP(K27, Projects!$A:$A, Projects!$F:$F)</f>
        <v>46053</v>
      </c>
      <c r="N27" s="30">
        <f t="shared" si="0"/>
        <v>1</v>
      </c>
      <c r="O27" s="30" t="str">
        <f t="shared" si="1"/>
        <v>OK</v>
      </c>
      <c r="Q27" s="76"/>
      <c r="R27" s="76"/>
      <c r="S27" s="76"/>
    </row>
    <row r="28" spans="1:19" x14ac:dyDescent="0.3">
      <c r="A28" s="30" t="s">
        <v>222</v>
      </c>
      <c r="B28" s="30" t="s">
        <v>223</v>
      </c>
      <c r="C28">
        <v>42981</v>
      </c>
      <c r="D28" s="63">
        <v>42981</v>
      </c>
      <c r="E28" s="30" t="s">
        <v>31</v>
      </c>
      <c r="F28" s="30" t="s">
        <v>203</v>
      </c>
      <c r="G28" s="30" t="s">
        <v>13</v>
      </c>
      <c r="H28">
        <v>2017</v>
      </c>
      <c r="I28" s="30" t="s">
        <v>516</v>
      </c>
      <c r="J28" s="30" t="s">
        <v>604</v>
      </c>
      <c r="K28" s="30" t="s">
        <v>224</v>
      </c>
      <c r="L28" s="31">
        <f>_xlfn.XLOOKUP(K28, Projects!$A:$A, Projects!$D:$D)</f>
        <v>45658</v>
      </c>
      <c r="M28" s="31">
        <f>_xlfn.XLOOKUP(K28, Projects!$A:$A, Projects!$F:$F)</f>
        <v>46043</v>
      </c>
      <c r="N28" s="30">
        <f t="shared" si="0"/>
        <v>2</v>
      </c>
      <c r="O28" s="30" t="str">
        <f t="shared" si="1"/>
        <v>OK</v>
      </c>
      <c r="Q28" s="76"/>
      <c r="R28" s="76"/>
      <c r="S28" s="76"/>
    </row>
    <row r="29" spans="1:19" x14ac:dyDescent="0.3">
      <c r="A29" s="30" t="s">
        <v>609</v>
      </c>
      <c r="B29" s="30" t="s">
        <v>238</v>
      </c>
      <c r="C29">
        <v>43860</v>
      </c>
      <c r="D29" s="63">
        <v>43860</v>
      </c>
      <c r="E29" s="30" t="s">
        <v>170</v>
      </c>
      <c r="F29" s="30" t="s">
        <v>203</v>
      </c>
      <c r="G29" s="30" t="s">
        <v>13</v>
      </c>
      <c r="H29">
        <v>2020</v>
      </c>
      <c r="I29" s="30" t="s">
        <v>513</v>
      </c>
      <c r="J29" s="30" t="s">
        <v>546</v>
      </c>
      <c r="K29" s="30" t="s">
        <v>14</v>
      </c>
      <c r="L29" s="31">
        <f>_xlfn.XLOOKUP(K29, Projects!$A:$A, Projects!$D:$D)</f>
        <v>45658</v>
      </c>
      <c r="M29" s="31">
        <f>_xlfn.XLOOKUP(K29, Projects!$A:$A, Projects!$F:$F)</f>
        <v>46053</v>
      </c>
      <c r="N29" s="30">
        <f t="shared" si="0"/>
        <v>2</v>
      </c>
      <c r="O29" s="30" t="str">
        <f t="shared" si="1"/>
        <v>OK</v>
      </c>
    </row>
    <row r="30" spans="1:19" x14ac:dyDescent="0.3">
      <c r="A30" s="30" t="s">
        <v>634</v>
      </c>
      <c r="B30" s="30" t="s">
        <v>317</v>
      </c>
      <c r="C30">
        <v>43269</v>
      </c>
      <c r="D30" s="63">
        <v>43269</v>
      </c>
      <c r="E30" s="30" t="s">
        <v>24</v>
      </c>
      <c r="F30" s="30" t="s">
        <v>189</v>
      </c>
      <c r="G30" s="30" t="s">
        <v>13</v>
      </c>
      <c r="H30">
        <v>2018</v>
      </c>
      <c r="I30" s="30" t="s">
        <v>515</v>
      </c>
      <c r="J30" s="30" t="s">
        <v>555</v>
      </c>
      <c r="K30" s="30" t="s">
        <v>224</v>
      </c>
      <c r="L30" s="31">
        <f>_xlfn.XLOOKUP(K30, Projects!$A:$A, Projects!$D:$D)</f>
        <v>45658</v>
      </c>
      <c r="M30" s="31">
        <f>_xlfn.XLOOKUP(K30, Projects!$A:$A, Projects!$F:$F)</f>
        <v>46043</v>
      </c>
      <c r="N30" s="30">
        <f t="shared" si="0"/>
        <v>2</v>
      </c>
      <c r="O30" s="30" t="str">
        <f t="shared" si="1"/>
        <v>OK</v>
      </c>
    </row>
    <row r="31" spans="1:19" x14ac:dyDescent="0.3">
      <c r="A31" s="30" t="s">
        <v>545</v>
      </c>
      <c r="B31" s="30" t="s">
        <v>75</v>
      </c>
      <c r="C31" t="s">
        <v>76</v>
      </c>
      <c r="D31" s="63">
        <v>43836</v>
      </c>
      <c r="E31" s="30" t="s">
        <v>24</v>
      </c>
      <c r="F31" s="30" t="s">
        <v>12</v>
      </c>
      <c r="G31" s="30" t="s">
        <v>13</v>
      </c>
      <c r="H31">
        <v>2020</v>
      </c>
      <c r="I31" s="30" t="s">
        <v>513</v>
      </c>
      <c r="J31" s="30" t="s">
        <v>546</v>
      </c>
      <c r="K31" s="30" t="s">
        <v>77</v>
      </c>
      <c r="L31" s="31">
        <f>_xlfn.XLOOKUP(K31, Projects!$A:$A, Projects!$D:$D)</f>
        <v>45663</v>
      </c>
      <c r="M31" s="31">
        <f>_xlfn.XLOOKUP(K31, Projects!$A:$A, Projects!$F:$F)</f>
        <v>46387</v>
      </c>
      <c r="N31" s="30">
        <f t="shared" si="0"/>
        <v>3</v>
      </c>
      <c r="O31" s="30" t="str">
        <f t="shared" si="1"/>
        <v>Overallocated</v>
      </c>
    </row>
    <row r="32" spans="1:19" x14ac:dyDescent="0.3">
      <c r="A32" s="30" t="s">
        <v>127</v>
      </c>
      <c r="B32" s="30" t="s">
        <v>128</v>
      </c>
      <c r="C32">
        <v>42843</v>
      </c>
      <c r="D32" s="63">
        <v>42843</v>
      </c>
      <c r="E32" s="30" t="s">
        <v>31</v>
      </c>
      <c r="F32" s="30" t="s">
        <v>25</v>
      </c>
      <c r="G32" s="30" t="s">
        <v>114</v>
      </c>
      <c r="H32">
        <v>2017</v>
      </c>
      <c r="I32" s="30" t="s">
        <v>515</v>
      </c>
      <c r="J32" s="30" t="s">
        <v>534</v>
      </c>
      <c r="K32" s="30" t="s">
        <v>77</v>
      </c>
      <c r="L32" s="31">
        <f>_xlfn.XLOOKUP(K32, Projects!$A:$A, Projects!$D:$D)</f>
        <v>45663</v>
      </c>
      <c r="M32" s="31">
        <f>_xlfn.XLOOKUP(K32, Projects!$A:$A, Projects!$F:$F)</f>
        <v>46387</v>
      </c>
      <c r="N32" s="30">
        <f t="shared" si="0"/>
        <v>2</v>
      </c>
      <c r="O32" s="30" t="str">
        <f t="shared" si="1"/>
        <v>OK</v>
      </c>
    </row>
    <row r="33" spans="1:15" x14ac:dyDescent="0.3">
      <c r="A33" s="30" t="s">
        <v>645</v>
      </c>
      <c r="B33" s="30" t="s">
        <v>350</v>
      </c>
      <c r="D33" s="63"/>
      <c r="E33" s="30" t="s">
        <v>42</v>
      </c>
      <c r="F33" s="30" t="s">
        <v>25</v>
      </c>
      <c r="G33" s="30" t="s">
        <v>13</v>
      </c>
      <c r="H33" t="s">
        <v>511</v>
      </c>
      <c r="I33" s="30" t="s">
        <v>511</v>
      </c>
      <c r="J33" s="30" t="s">
        <v>511</v>
      </c>
      <c r="K33" s="30" t="s">
        <v>77</v>
      </c>
      <c r="L33" s="31">
        <f>_xlfn.XLOOKUP(K33, Projects!$A:$A, Projects!$D:$D)</f>
        <v>45663</v>
      </c>
      <c r="M33" s="31">
        <f>_xlfn.XLOOKUP(K33, Projects!$A:$A, Projects!$F:$F)</f>
        <v>46387</v>
      </c>
      <c r="N33" s="30">
        <f t="shared" si="0"/>
        <v>2</v>
      </c>
      <c r="O33" s="30" t="str">
        <f t="shared" si="1"/>
        <v>OK</v>
      </c>
    </row>
    <row r="34" spans="1:15" x14ac:dyDescent="0.3">
      <c r="A34" s="30" t="s">
        <v>617</v>
      </c>
      <c r="B34" s="30" t="s">
        <v>262</v>
      </c>
      <c r="C34" t="s">
        <v>263</v>
      </c>
      <c r="D34" s="63">
        <v>42782</v>
      </c>
      <c r="E34" s="30" t="s">
        <v>31</v>
      </c>
      <c r="F34" s="30" t="s">
        <v>196</v>
      </c>
      <c r="G34" s="30" t="s">
        <v>13</v>
      </c>
      <c r="H34">
        <v>2017</v>
      </c>
      <c r="I34" s="30" t="s">
        <v>513</v>
      </c>
      <c r="J34" s="30" t="s">
        <v>544</v>
      </c>
      <c r="K34" s="30" t="s">
        <v>265</v>
      </c>
      <c r="L34" s="31">
        <f>_xlfn.XLOOKUP(K34, Projects!$A:$A, Projects!$D:$D)</f>
        <v>45672</v>
      </c>
      <c r="M34" s="31">
        <f>_xlfn.XLOOKUP(K34, Projects!$A:$A, Projects!$F:$F)</f>
        <v>46127</v>
      </c>
      <c r="N34" s="30">
        <f t="shared" si="0"/>
        <v>2</v>
      </c>
      <c r="O34" s="30" t="str">
        <f t="shared" si="1"/>
        <v>OK</v>
      </c>
    </row>
    <row r="35" spans="1:15" x14ac:dyDescent="0.3">
      <c r="A35" s="30" t="s">
        <v>651</v>
      </c>
      <c r="B35" s="30" t="s">
        <v>365</v>
      </c>
      <c r="C35">
        <v>44956</v>
      </c>
      <c r="D35" s="63">
        <v>44956</v>
      </c>
      <c r="E35" s="30" t="s">
        <v>24</v>
      </c>
      <c r="F35" s="30" t="s">
        <v>12</v>
      </c>
      <c r="G35" s="30" t="s">
        <v>114</v>
      </c>
      <c r="H35">
        <v>2023</v>
      </c>
      <c r="I35" s="30" t="s">
        <v>513</v>
      </c>
      <c r="J35" s="30" t="s">
        <v>595</v>
      </c>
      <c r="K35" s="30" t="s">
        <v>265</v>
      </c>
      <c r="L35" s="31">
        <f>_xlfn.XLOOKUP(K35, Projects!$A:$A, Projects!$D:$D)</f>
        <v>45672</v>
      </c>
      <c r="M35" s="31">
        <f>_xlfn.XLOOKUP(K35, Projects!$A:$A, Projects!$F:$F)</f>
        <v>46127</v>
      </c>
      <c r="N35" s="30">
        <f t="shared" si="0"/>
        <v>2</v>
      </c>
      <c r="O35" s="30" t="str">
        <f t="shared" si="1"/>
        <v>OK</v>
      </c>
    </row>
    <row r="36" spans="1:15" x14ac:dyDescent="0.3">
      <c r="A36" s="30" t="s">
        <v>143</v>
      </c>
      <c r="B36" s="30" t="s">
        <v>144</v>
      </c>
      <c r="C36">
        <v>43147</v>
      </c>
      <c r="D36" s="63">
        <v>43147</v>
      </c>
      <c r="E36" s="30" t="s">
        <v>24</v>
      </c>
      <c r="F36" s="30" t="s">
        <v>12</v>
      </c>
      <c r="G36" s="30" t="s">
        <v>13</v>
      </c>
      <c r="H36">
        <v>2018</v>
      </c>
      <c r="I36" s="30" t="s">
        <v>513</v>
      </c>
      <c r="J36" s="30" t="s">
        <v>576</v>
      </c>
      <c r="K36" s="30" t="s">
        <v>145</v>
      </c>
      <c r="L36" s="31">
        <f>_xlfn.XLOOKUP(K36, Projects!$A:$A, Projects!$D:$D)</f>
        <v>45686</v>
      </c>
      <c r="M36" s="31">
        <f>_xlfn.XLOOKUP(K36, Projects!$A:$A, Projects!$F:$F)</f>
        <v>46249</v>
      </c>
      <c r="N36" s="30">
        <f t="shared" si="0"/>
        <v>3</v>
      </c>
      <c r="O36" s="30" t="str">
        <f t="shared" si="1"/>
        <v>Overallocated</v>
      </c>
    </row>
    <row r="37" spans="1:15" x14ac:dyDescent="0.3">
      <c r="A37" s="30" t="s">
        <v>249</v>
      </c>
      <c r="B37" s="30" t="s">
        <v>250</v>
      </c>
      <c r="C37">
        <v>42627</v>
      </c>
      <c r="D37" s="63">
        <v>42627</v>
      </c>
      <c r="E37" s="30" t="s">
        <v>24</v>
      </c>
      <c r="F37" s="30" t="s">
        <v>203</v>
      </c>
      <c r="G37" s="30" t="s">
        <v>13</v>
      </c>
      <c r="H37">
        <v>2016</v>
      </c>
      <c r="I37" s="30" t="s">
        <v>516</v>
      </c>
      <c r="J37" s="30" t="s">
        <v>613</v>
      </c>
      <c r="K37" s="30" t="s">
        <v>145</v>
      </c>
      <c r="L37" s="31">
        <f>_xlfn.XLOOKUP(K37, Projects!$A:$A, Projects!$D:$D)</f>
        <v>45686</v>
      </c>
      <c r="M37" s="31">
        <f>_xlfn.XLOOKUP(K37, Projects!$A:$A, Projects!$F:$F)</f>
        <v>46249</v>
      </c>
      <c r="N37" s="30">
        <f t="shared" si="0"/>
        <v>2</v>
      </c>
      <c r="O37" s="30" t="str">
        <f t="shared" si="1"/>
        <v>OK</v>
      </c>
    </row>
    <row r="38" spans="1:15" x14ac:dyDescent="0.3">
      <c r="A38" s="30" t="s">
        <v>658</v>
      </c>
      <c r="B38" s="30" t="s">
        <v>382</v>
      </c>
      <c r="C38" t="s">
        <v>345</v>
      </c>
      <c r="D38" s="63">
        <v>46022</v>
      </c>
      <c r="E38" s="30" t="s">
        <v>31</v>
      </c>
      <c r="F38" s="30" t="s">
        <v>203</v>
      </c>
      <c r="G38" s="30" t="s">
        <v>114</v>
      </c>
      <c r="H38">
        <v>2025</v>
      </c>
      <c r="I38" s="30" t="s">
        <v>514</v>
      </c>
      <c r="J38" s="30" t="s">
        <v>640</v>
      </c>
      <c r="K38" s="30" t="s">
        <v>383</v>
      </c>
      <c r="L38" s="65">
        <v>45686</v>
      </c>
      <c r="M38" s="31">
        <v>46249</v>
      </c>
      <c r="N38" s="30">
        <f t="shared" si="0"/>
        <v>2</v>
      </c>
      <c r="O38" s="30" t="str">
        <f t="shared" si="1"/>
        <v>OK</v>
      </c>
    </row>
    <row r="39" spans="1:15" x14ac:dyDescent="0.3">
      <c r="A39" s="30" t="s">
        <v>599</v>
      </c>
      <c r="B39" s="30" t="s">
        <v>202</v>
      </c>
      <c r="C39">
        <v>43054</v>
      </c>
      <c r="D39" s="63">
        <v>43054</v>
      </c>
      <c r="E39" s="30" t="s">
        <v>24</v>
      </c>
      <c r="F39" s="30" t="s">
        <v>203</v>
      </c>
      <c r="G39" s="30" t="s">
        <v>13</v>
      </c>
      <c r="H39">
        <v>2017</v>
      </c>
      <c r="I39" s="30" t="s">
        <v>514</v>
      </c>
      <c r="J39" s="30" t="s">
        <v>589</v>
      </c>
      <c r="K39" s="30" t="s">
        <v>204</v>
      </c>
      <c r="L39" s="31">
        <f>_xlfn.XLOOKUP(K39, Projects!$A:$A, Projects!$D:$D)</f>
        <v>45689</v>
      </c>
      <c r="M39" s="31">
        <f>_xlfn.XLOOKUP(K39, Projects!$A:$A, Projects!$F:$F)</f>
        <v>46142</v>
      </c>
      <c r="N39" s="30">
        <f t="shared" si="0"/>
        <v>2</v>
      </c>
      <c r="O39" s="30" t="str">
        <f t="shared" si="1"/>
        <v>OK</v>
      </c>
    </row>
    <row r="40" spans="1:15" x14ac:dyDescent="0.3">
      <c r="A40" s="30" t="s">
        <v>608</v>
      </c>
      <c r="B40" s="30" t="s">
        <v>234</v>
      </c>
      <c r="C40" t="s">
        <v>235</v>
      </c>
      <c r="D40" s="63">
        <v>43395</v>
      </c>
      <c r="E40" s="30" t="s">
        <v>31</v>
      </c>
      <c r="F40" s="30" t="s">
        <v>196</v>
      </c>
      <c r="G40" s="30" t="s">
        <v>13</v>
      </c>
      <c r="H40">
        <v>2018</v>
      </c>
      <c r="I40" s="30" t="s">
        <v>514</v>
      </c>
      <c r="J40" s="30" t="s">
        <v>532</v>
      </c>
      <c r="K40" s="30" t="s">
        <v>204</v>
      </c>
      <c r="L40" s="31">
        <f>_xlfn.XLOOKUP(K40, Projects!$A:$A, Projects!$D:$D)</f>
        <v>45689</v>
      </c>
      <c r="M40" s="31">
        <f>_xlfn.XLOOKUP(K40, Projects!$A:$A, Projects!$F:$F)</f>
        <v>46142</v>
      </c>
      <c r="N40" s="30">
        <f t="shared" si="0"/>
        <v>1</v>
      </c>
      <c r="O40" s="30" t="str">
        <f t="shared" si="1"/>
        <v>OK</v>
      </c>
    </row>
    <row r="41" spans="1:15" x14ac:dyDescent="0.3">
      <c r="A41" s="30" t="s">
        <v>579</v>
      </c>
      <c r="B41" s="30" t="s">
        <v>152</v>
      </c>
      <c r="C41">
        <v>42311</v>
      </c>
      <c r="D41" s="63">
        <v>42311</v>
      </c>
      <c r="E41" s="30" t="s">
        <v>36</v>
      </c>
      <c r="F41" s="30" t="s">
        <v>12</v>
      </c>
      <c r="G41" s="30" t="s">
        <v>114</v>
      </c>
      <c r="H41">
        <v>2015</v>
      </c>
      <c r="I41" s="30" t="s">
        <v>514</v>
      </c>
      <c r="J41" s="30" t="s">
        <v>580</v>
      </c>
      <c r="K41" s="30" t="s">
        <v>153</v>
      </c>
      <c r="L41" s="31">
        <f>_xlfn.XLOOKUP(K41, Projects!$A:$A, Projects!$D:$D)</f>
        <v>45741</v>
      </c>
      <c r="M41" s="31">
        <f>_xlfn.XLOOKUP(K41, Projects!$A:$A, Projects!$F:$F)</f>
        <v>46186</v>
      </c>
      <c r="N41" s="30">
        <f t="shared" si="0"/>
        <v>2</v>
      </c>
      <c r="O41" s="30" t="str">
        <f t="shared" si="1"/>
        <v>OK</v>
      </c>
    </row>
    <row r="42" spans="1:15" x14ac:dyDescent="0.3">
      <c r="A42" s="30" t="s">
        <v>329</v>
      </c>
      <c r="B42" s="30" t="s">
        <v>330</v>
      </c>
      <c r="C42">
        <v>45333</v>
      </c>
      <c r="D42" s="63">
        <v>45333</v>
      </c>
      <c r="E42" s="30" t="s">
        <v>11</v>
      </c>
      <c r="F42" s="30" t="s">
        <v>193</v>
      </c>
      <c r="G42" s="30" t="s">
        <v>13</v>
      </c>
      <c r="H42">
        <v>2024</v>
      </c>
      <c r="I42" s="30" t="s">
        <v>513</v>
      </c>
      <c r="J42" s="30" t="s">
        <v>542</v>
      </c>
      <c r="K42" s="30" t="s">
        <v>153</v>
      </c>
      <c r="L42" s="31">
        <f>_xlfn.XLOOKUP(K42, Projects!$A:$A, Projects!$D:$D)</f>
        <v>45741</v>
      </c>
      <c r="M42" s="31">
        <f>_xlfn.XLOOKUP(K42, Projects!$A:$A, Projects!$F:$F)</f>
        <v>46186</v>
      </c>
      <c r="N42" s="30">
        <f t="shared" si="0"/>
        <v>2</v>
      </c>
      <c r="O42" s="30" t="str">
        <f t="shared" si="1"/>
        <v>OK</v>
      </c>
    </row>
    <row r="43" spans="1:15" x14ac:dyDescent="0.3">
      <c r="A43" s="30" t="s">
        <v>649</v>
      </c>
      <c r="B43" s="30" t="s">
        <v>358</v>
      </c>
      <c r="C43" t="s">
        <v>359</v>
      </c>
      <c r="D43" s="63">
        <v>42735</v>
      </c>
      <c r="E43" s="30" t="s">
        <v>11</v>
      </c>
      <c r="F43" s="30" t="s">
        <v>12</v>
      </c>
      <c r="G43" s="30" t="s">
        <v>13</v>
      </c>
      <c r="H43">
        <v>2016</v>
      </c>
      <c r="I43" s="30" t="s">
        <v>514</v>
      </c>
      <c r="J43" s="30" t="s">
        <v>547</v>
      </c>
      <c r="K43" s="30" t="s">
        <v>153</v>
      </c>
      <c r="L43" s="31">
        <f>_xlfn.XLOOKUP(K43, Projects!$A:$A, Projects!$D:$D)</f>
        <v>45741</v>
      </c>
      <c r="M43" s="31">
        <f>_xlfn.XLOOKUP(K43, Projects!$A:$A, Projects!$F:$F)</f>
        <v>46186</v>
      </c>
      <c r="N43" s="30">
        <f t="shared" si="0"/>
        <v>6</v>
      </c>
      <c r="O43" s="30" t="str">
        <f t="shared" si="1"/>
        <v>Overallocated</v>
      </c>
    </row>
    <row r="44" spans="1:15" x14ac:dyDescent="0.3">
      <c r="A44" s="30" t="s">
        <v>663</v>
      </c>
      <c r="B44" s="30" t="s">
        <v>395</v>
      </c>
      <c r="C44">
        <v>44733</v>
      </c>
      <c r="D44" s="63">
        <v>44733</v>
      </c>
      <c r="E44" s="30" t="s">
        <v>31</v>
      </c>
      <c r="F44" s="30" t="s">
        <v>208</v>
      </c>
      <c r="G44" s="30" t="s">
        <v>13</v>
      </c>
      <c r="H44">
        <v>2022</v>
      </c>
      <c r="I44" s="30" t="s">
        <v>515</v>
      </c>
      <c r="J44" s="30" t="s">
        <v>587</v>
      </c>
      <c r="K44" s="30" t="s">
        <v>153</v>
      </c>
      <c r="L44" s="31">
        <f>_xlfn.XLOOKUP(K44, Projects!$A:$A, Projects!$D:$D)</f>
        <v>45741</v>
      </c>
      <c r="M44" s="31">
        <f>_xlfn.XLOOKUP(K44, Projects!$A:$A, Projects!$F:$F)</f>
        <v>46186</v>
      </c>
      <c r="N44" s="30">
        <f t="shared" si="0"/>
        <v>2</v>
      </c>
      <c r="O44" s="30" t="str">
        <f t="shared" si="1"/>
        <v>OK</v>
      </c>
    </row>
    <row r="45" spans="1:15" x14ac:dyDescent="0.3">
      <c r="A45" s="30" t="s">
        <v>649</v>
      </c>
      <c r="B45" s="30" t="s">
        <v>358</v>
      </c>
      <c r="C45">
        <v>42735</v>
      </c>
      <c r="D45" s="63">
        <v>42735</v>
      </c>
      <c r="E45" s="30" t="s">
        <v>11</v>
      </c>
      <c r="F45" s="30" t="s">
        <v>12</v>
      </c>
      <c r="G45" s="30" t="s">
        <v>13</v>
      </c>
      <c r="H45">
        <v>2016</v>
      </c>
      <c r="I45" s="30" t="s">
        <v>514</v>
      </c>
      <c r="J45" s="30" t="s">
        <v>547</v>
      </c>
      <c r="K45" s="30" t="s">
        <v>153</v>
      </c>
      <c r="L45" s="31">
        <f>_xlfn.XLOOKUP(K45, Projects!$A:$A, Projects!$D:$D)</f>
        <v>45741</v>
      </c>
      <c r="M45" s="31">
        <f>_xlfn.XLOOKUP(K45, Projects!$A:$A, Projects!$F:$F)</f>
        <v>46186</v>
      </c>
      <c r="N45" s="30">
        <f t="shared" si="0"/>
        <v>6</v>
      </c>
      <c r="O45" s="30" t="str">
        <f t="shared" si="1"/>
        <v>Overallocated</v>
      </c>
    </row>
    <row r="46" spans="1:15" x14ac:dyDescent="0.3">
      <c r="A46" s="30" t="s">
        <v>539</v>
      </c>
      <c r="B46" s="30" t="s">
        <v>61</v>
      </c>
      <c r="C46">
        <v>43713</v>
      </c>
      <c r="D46" s="63">
        <v>43713</v>
      </c>
      <c r="E46" s="30" t="s">
        <v>31</v>
      </c>
      <c r="F46" s="30" t="s">
        <v>19</v>
      </c>
      <c r="G46" s="30" t="s">
        <v>13</v>
      </c>
      <c r="H46">
        <v>2019</v>
      </c>
      <c r="I46" s="30" t="s">
        <v>516</v>
      </c>
      <c r="J46" s="30" t="s">
        <v>540</v>
      </c>
      <c r="K46" s="30" t="s">
        <v>63</v>
      </c>
      <c r="L46" s="31">
        <f>_xlfn.XLOOKUP(K46, Projects!$A:$A, Projects!$D:$D)</f>
        <v>45748</v>
      </c>
      <c r="M46" s="31">
        <f>_xlfn.XLOOKUP(K46, Projects!$A:$A, Projects!$F:$F)</f>
        <v>46387</v>
      </c>
      <c r="N46" s="30">
        <f t="shared" si="0"/>
        <v>2</v>
      </c>
      <c r="O46" s="30" t="str">
        <f t="shared" si="1"/>
        <v>OK</v>
      </c>
    </row>
    <row r="47" spans="1:15" x14ac:dyDescent="0.3">
      <c r="A47" s="30" t="s">
        <v>541</v>
      </c>
      <c r="B47" s="30" t="s">
        <v>65</v>
      </c>
      <c r="C47">
        <v>44260</v>
      </c>
      <c r="D47" s="63">
        <v>44260</v>
      </c>
      <c r="E47" s="30" t="s">
        <v>54</v>
      </c>
      <c r="F47" s="30" t="s">
        <v>12</v>
      </c>
      <c r="G47" s="30" t="s">
        <v>55</v>
      </c>
      <c r="H47">
        <v>2021</v>
      </c>
      <c r="I47" s="30" t="s">
        <v>513</v>
      </c>
      <c r="J47" s="30" t="s">
        <v>524</v>
      </c>
      <c r="K47" s="30" t="s">
        <v>66</v>
      </c>
      <c r="L47" s="31">
        <f>_xlfn.XLOOKUP(K47, Projects!$A:$A, Projects!$D:$D)</f>
        <v>45748</v>
      </c>
      <c r="M47" s="31">
        <f>_xlfn.XLOOKUP(K47, Projects!$A:$A, Projects!$F:$F)</f>
        <v>46276</v>
      </c>
      <c r="N47" s="30">
        <f t="shared" si="0"/>
        <v>1</v>
      </c>
      <c r="O47" s="30" t="str">
        <f t="shared" si="1"/>
        <v>OK</v>
      </c>
    </row>
    <row r="48" spans="1:15" x14ac:dyDescent="0.3">
      <c r="A48" s="30" t="s">
        <v>67</v>
      </c>
      <c r="B48" s="30" t="s">
        <v>68</v>
      </c>
      <c r="C48">
        <v>45301</v>
      </c>
      <c r="D48" s="63">
        <v>45301</v>
      </c>
      <c r="E48" s="30" t="s">
        <v>11</v>
      </c>
      <c r="F48" s="30" t="s">
        <v>25</v>
      </c>
      <c r="G48" s="30" t="s">
        <v>13</v>
      </c>
      <c r="H48">
        <v>2024</v>
      </c>
      <c r="I48" s="30" t="s">
        <v>513</v>
      </c>
      <c r="J48" s="30" t="s">
        <v>542</v>
      </c>
      <c r="K48" s="30" t="s">
        <v>63</v>
      </c>
      <c r="L48" s="31">
        <f>_xlfn.XLOOKUP(K48, Projects!$A:$A, Projects!$D:$D)</f>
        <v>45748</v>
      </c>
      <c r="M48" s="31">
        <f>_xlfn.XLOOKUP(K48, Projects!$A:$A, Projects!$F:$F)</f>
        <v>46387</v>
      </c>
      <c r="N48" s="30">
        <f t="shared" si="0"/>
        <v>2</v>
      </c>
      <c r="O48" s="30" t="str">
        <f t="shared" si="1"/>
        <v>OK</v>
      </c>
    </row>
    <row r="49" spans="1:15" x14ac:dyDescent="0.3">
      <c r="A49" s="30" t="s">
        <v>554</v>
      </c>
      <c r="B49" s="30" t="s">
        <v>98</v>
      </c>
      <c r="C49" t="s">
        <v>99</v>
      </c>
      <c r="D49" s="63">
        <v>43193</v>
      </c>
      <c r="E49" s="30" t="s">
        <v>31</v>
      </c>
      <c r="F49" s="30" t="s">
        <v>25</v>
      </c>
      <c r="G49" s="30" t="s">
        <v>13</v>
      </c>
      <c r="H49">
        <v>2018</v>
      </c>
      <c r="I49" s="30" t="s">
        <v>515</v>
      </c>
      <c r="J49" s="30" t="s">
        <v>555</v>
      </c>
      <c r="K49" s="30" t="s">
        <v>100</v>
      </c>
      <c r="L49" s="31">
        <f>_xlfn.XLOOKUP(K49, Projects!$A:$A, Projects!$D:$D)</f>
        <v>45748</v>
      </c>
      <c r="M49" s="31">
        <f>_xlfn.XLOOKUP(K49, Projects!$A:$A, Projects!$F:$F)</f>
        <v>46324</v>
      </c>
      <c r="N49" s="30">
        <f t="shared" si="0"/>
        <v>2</v>
      </c>
      <c r="O49" s="30" t="str">
        <f t="shared" si="1"/>
        <v>OK</v>
      </c>
    </row>
    <row r="50" spans="1:15" x14ac:dyDescent="0.3">
      <c r="A50" s="30" t="s">
        <v>557</v>
      </c>
      <c r="B50" s="30" t="s">
        <v>107</v>
      </c>
      <c r="C50">
        <v>44805</v>
      </c>
      <c r="D50" s="63">
        <v>44805</v>
      </c>
      <c r="E50" s="30" t="s">
        <v>54</v>
      </c>
      <c r="F50" s="30" t="s">
        <v>12</v>
      </c>
      <c r="G50" s="30" t="s">
        <v>13</v>
      </c>
      <c r="H50">
        <v>2022</v>
      </c>
      <c r="I50" s="30" t="s">
        <v>516</v>
      </c>
      <c r="J50" s="30" t="s">
        <v>558</v>
      </c>
      <c r="K50" s="30" t="s">
        <v>108</v>
      </c>
      <c r="L50" s="31">
        <f>_xlfn.XLOOKUP(K50, Projects!$A:$A, Projects!$D:$D)</f>
        <v>45748</v>
      </c>
      <c r="M50" s="31">
        <f>_xlfn.XLOOKUP(K50, Projects!$A:$A, Projects!$F:$F)</f>
        <v>46387</v>
      </c>
      <c r="N50" s="30">
        <f t="shared" si="0"/>
        <v>2</v>
      </c>
      <c r="O50" s="30" t="str">
        <f t="shared" si="1"/>
        <v>OK</v>
      </c>
    </row>
    <row r="51" spans="1:15" x14ac:dyDescent="0.3">
      <c r="A51" s="30" t="s">
        <v>563</v>
      </c>
      <c r="B51" s="30" t="s">
        <v>119</v>
      </c>
      <c r="C51">
        <v>44361</v>
      </c>
      <c r="D51" s="63">
        <v>44361</v>
      </c>
      <c r="E51" s="30" t="s">
        <v>54</v>
      </c>
      <c r="F51" s="30" t="s">
        <v>25</v>
      </c>
      <c r="G51" s="30" t="s">
        <v>55</v>
      </c>
      <c r="H51">
        <v>2021</v>
      </c>
      <c r="I51" s="30" t="s">
        <v>515</v>
      </c>
      <c r="J51" s="30" t="s">
        <v>564</v>
      </c>
      <c r="K51" s="30" t="s">
        <v>100</v>
      </c>
      <c r="L51" s="31">
        <f>_xlfn.XLOOKUP(K51, Projects!$A:$A, Projects!$D:$D)</f>
        <v>45748</v>
      </c>
      <c r="M51" s="31">
        <f>_xlfn.XLOOKUP(K51, Projects!$A:$A, Projects!$F:$F)</f>
        <v>46324</v>
      </c>
      <c r="N51" s="30">
        <f t="shared" si="0"/>
        <v>1</v>
      </c>
      <c r="O51" s="30" t="str">
        <f t="shared" si="1"/>
        <v>OK</v>
      </c>
    </row>
    <row r="52" spans="1:15" x14ac:dyDescent="0.3">
      <c r="A52" s="30" t="s">
        <v>574</v>
      </c>
      <c r="B52" s="30" t="s">
        <v>140</v>
      </c>
      <c r="C52">
        <v>44499</v>
      </c>
      <c r="D52" s="63">
        <v>44499</v>
      </c>
      <c r="E52" s="30" t="s">
        <v>31</v>
      </c>
      <c r="F52" s="30" t="s">
        <v>19</v>
      </c>
      <c r="G52" s="30" t="s">
        <v>13</v>
      </c>
      <c r="H52">
        <v>2021</v>
      </c>
      <c r="I52" s="30" t="s">
        <v>514</v>
      </c>
      <c r="J52" s="30" t="s">
        <v>575</v>
      </c>
      <c r="K52" s="30" t="s">
        <v>141</v>
      </c>
      <c r="L52" s="31">
        <f>_xlfn.XLOOKUP(K52, Projects!$A:$A, Projects!$D:$D)</f>
        <v>45748</v>
      </c>
      <c r="M52" s="31">
        <f>_xlfn.XLOOKUP(K52, Projects!$A:$A, Projects!$F:$F)</f>
        <v>46112</v>
      </c>
      <c r="N52" s="30">
        <f t="shared" si="0"/>
        <v>2</v>
      </c>
      <c r="O52" s="30" t="str">
        <f t="shared" si="1"/>
        <v>OK</v>
      </c>
    </row>
    <row r="53" spans="1:15" x14ac:dyDescent="0.3">
      <c r="A53" s="30" t="s">
        <v>586</v>
      </c>
      <c r="B53" s="30" t="s">
        <v>169</v>
      </c>
      <c r="C53">
        <v>43226</v>
      </c>
      <c r="D53" s="63">
        <v>43226</v>
      </c>
      <c r="E53" s="30" t="s">
        <v>170</v>
      </c>
      <c r="F53" s="30" t="s">
        <v>12</v>
      </c>
      <c r="G53" s="30" t="s">
        <v>13</v>
      </c>
      <c r="H53">
        <v>2018</v>
      </c>
      <c r="I53" s="30" t="s">
        <v>515</v>
      </c>
      <c r="J53" s="30" t="s">
        <v>555</v>
      </c>
      <c r="K53" s="30" t="s">
        <v>66</v>
      </c>
      <c r="L53" s="31">
        <f>_xlfn.XLOOKUP(K53, Projects!$A:$A, Projects!$D:$D)</f>
        <v>45748</v>
      </c>
      <c r="M53" s="31">
        <f>_xlfn.XLOOKUP(K53, Projects!$A:$A, Projects!$F:$F)</f>
        <v>46276</v>
      </c>
      <c r="N53" s="30">
        <f t="shared" si="0"/>
        <v>2</v>
      </c>
      <c r="O53" s="30" t="str">
        <f t="shared" si="1"/>
        <v>OK</v>
      </c>
    </row>
    <row r="54" spans="1:15" x14ac:dyDescent="0.3">
      <c r="A54" s="30" t="s">
        <v>171</v>
      </c>
      <c r="B54" s="30" t="s">
        <v>172</v>
      </c>
      <c r="C54">
        <v>44653</v>
      </c>
      <c r="D54" s="63">
        <v>44653</v>
      </c>
      <c r="E54" s="30" t="s">
        <v>54</v>
      </c>
      <c r="F54" s="30" t="s">
        <v>25</v>
      </c>
      <c r="G54" s="30" t="s">
        <v>55</v>
      </c>
      <c r="H54">
        <v>2022</v>
      </c>
      <c r="I54" s="30" t="s">
        <v>515</v>
      </c>
      <c r="J54" s="30" t="s">
        <v>587</v>
      </c>
      <c r="K54" s="30" t="s">
        <v>173</v>
      </c>
      <c r="L54" s="31">
        <f>_xlfn.XLOOKUP(K54, Projects!$A:$A, Projects!$D:$D)</f>
        <v>45748</v>
      </c>
      <c r="M54" s="31">
        <f>_xlfn.XLOOKUP(K54, Projects!$A:$A, Projects!$F:$F)</f>
        <v>45838</v>
      </c>
      <c r="N54" s="30">
        <f t="shared" si="0"/>
        <v>4</v>
      </c>
      <c r="O54" s="30" t="str">
        <f t="shared" si="1"/>
        <v>Overallocated</v>
      </c>
    </row>
    <row r="55" spans="1:15" x14ac:dyDescent="0.3">
      <c r="A55" s="30" t="s">
        <v>171</v>
      </c>
      <c r="B55" s="30" t="s">
        <v>172</v>
      </c>
      <c r="C55">
        <v>44653</v>
      </c>
      <c r="D55" s="63">
        <v>44653</v>
      </c>
      <c r="E55" s="30" t="s">
        <v>54</v>
      </c>
      <c r="F55" s="30" t="s">
        <v>25</v>
      </c>
      <c r="G55" s="30" t="s">
        <v>55</v>
      </c>
      <c r="H55">
        <v>2022</v>
      </c>
      <c r="I55" s="30" t="s">
        <v>515</v>
      </c>
      <c r="J55" s="30" t="s">
        <v>587</v>
      </c>
      <c r="K55" s="30" t="s">
        <v>63</v>
      </c>
      <c r="L55" s="31">
        <f>_xlfn.XLOOKUP(K55, Projects!$A:$A, Projects!$D:$D)</f>
        <v>45748</v>
      </c>
      <c r="M55" s="31">
        <f>_xlfn.XLOOKUP(K55, Projects!$A:$A, Projects!$F:$F)</f>
        <v>46387</v>
      </c>
      <c r="N55" s="30">
        <f t="shared" si="0"/>
        <v>4</v>
      </c>
      <c r="O55" s="30" t="str">
        <f t="shared" si="1"/>
        <v>Overallocated</v>
      </c>
    </row>
    <row r="56" spans="1:15" x14ac:dyDescent="0.3">
      <c r="A56" s="30" t="s">
        <v>588</v>
      </c>
      <c r="B56" s="30" t="s">
        <v>175</v>
      </c>
      <c r="C56">
        <v>43036</v>
      </c>
      <c r="D56" s="63">
        <v>43036</v>
      </c>
      <c r="E56" s="30" t="s">
        <v>31</v>
      </c>
      <c r="F56" s="30" t="s">
        <v>19</v>
      </c>
      <c r="G56" s="30" t="s">
        <v>114</v>
      </c>
      <c r="H56">
        <v>2017</v>
      </c>
      <c r="I56" s="30" t="s">
        <v>514</v>
      </c>
      <c r="J56" s="30" t="s">
        <v>589</v>
      </c>
      <c r="K56" s="30" t="s">
        <v>176</v>
      </c>
      <c r="L56" s="31">
        <f>_xlfn.XLOOKUP(K56, Projects!$A:$A, Projects!$D:$D)</f>
        <v>45748</v>
      </c>
      <c r="M56" s="31">
        <f>_xlfn.XLOOKUP(K56, Projects!$A:$A, Projects!$F:$F)</f>
        <v>46387</v>
      </c>
      <c r="N56" s="30">
        <f t="shared" si="0"/>
        <v>2</v>
      </c>
      <c r="O56" s="30" t="str">
        <f t="shared" si="1"/>
        <v>OK</v>
      </c>
    </row>
    <row r="57" spans="1:15" x14ac:dyDescent="0.3">
      <c r="A57" s="30" t="s">
        <v>191</v>
      </c>
      <c r="B57" s="30" t="s">
        <v>192</v>
      </c>
      <c r="C57">
        <v>43933</v>
      </c>
      <c r="D57" s="63">
        <v>43933</v>
      </c>
      <c r="E57" s="30" t="s">
        <v>54</v>
      </c>
      <c r="F57" s="30" t="s">
        <v>193</v>
      </c>
      <c r="G57" s="30" t="s">
        <v>55</v>
      </c>
      <c r="H57">
        <v>2020</v>
      </c>
      <c r="I57" s="30" t="s">
        <v>515</v>
      </c>
      <c r="J57" s="30" t="s">
        <v>573</v>
      </c>
      <c r="K57" s="30" t="s">
        <v>176</v>
      </c>
      <c r="L57" s="31">
        <f>_xlfn.XLOOKUP(K57, Projects!$A:$A, Projects!$D:$D)</f>
        <v>45748</v>
      </c>
      <c r="M57" s="31">
        <f>_xlfn.XLOOKUP(K57, Projects!$A:$A, Projects!$F:$F)</f>
        <v>46387</v>
      </c>
      <c r="N57" s="30">
        <f t="shared" si="0"/>
        <v>1</v>
      </c>
      <c r="O57" s="30" t="str">
        <f t="shared" si="1"/>
        <v>OK</v>
      </c>
    </row>
    <row r="58" spans="1:15" x14ac:dyDescent="0.3">
      <c r="A58" s="30" t="s">
        <v>600</v>
      </c>
      <c r="B58" s="30" t="s">
        <v>211</v>
      </c>
      <c r="C58" t="s">
        <v>212</v>
      </c>
      <c r="D58" s="63">
        <v>43594</v>
      </c>
      <c r="E58" s="30" t="s">
        <v>54</v>
      </c>
      <c r="F58" s="30" t="s">
        <v>193</v>
      </c>
      <c r="G58" s="30" t="s">
        <v>13</v>
      </c>
      <c r="H58">
        <v>2019</v>
      </c>
      <c r="I58" s="30" t="s">
        <v>515</v>
      </c>
      <c r="J58" s="30" t="s">
        <v>591</v>
      </c>
      <c r="K58" s="30" t="s">
        <v>176</v>
      </c>
      <c r="L58" s="31">
        <f>_xlfn.XLOOKUP(K58, Projects!$A:$A, Projects!$D:$D)</f>
        <v>45748</v>
      </c>
      <c r="M58" s="31">
        <f>_xlfn.XLOOKUP(K58, Projects!$A:$A, Projects!$F:$F)</f>
        <v>46387</v>
      </c>
      <c r="N58" s="30">
        <f t="shared" si="0"/>
        <v>1</v>
      </c>
      <c r="O58" s="30" t="str">
        <f t="shared" si="1"/>
        <v>OK</v>
      </c>
    </row>
    <row r="59" spans="1:15" x14ac:dyDescent="0.3">
      <c r="A59" s="30" t="s">
        <v>240</v>
      </c>
      <c r="B59" s="30" t="s">
        <v>241</v>
      </c>
      <c r="C59">
        <v>43621</v>
      </c>
      <c r="D59" s="63">
        <v>43621</v>
      </c>
      <c r="E59" s="30" t="s">
        <v>31</v>
      </c>
      <c r="F59" s="30" t="s">
        <v>208</v>
      </c>
      <c r="G59" s="30" t="s">
        <v>13</v>
      </c>
      <c r="H59">
        <v>2019</v>
      </c>
      <c r="I59" s="30" t="s">
        <v>515</v>
      </c>
      <c r="J59" s="30" t="s">
        <v>591</v>
      </c>
      <c r="K59" s="30" t="s">
        <v>173</v>
      </c>
      <c r="L59" s="31">
        <f>_xlfn.XLOOKUP(K59, Projects!$A:$A, Projects!$D:$D)</f>
        <v>45748</v>
      </c>
      <c r="M59" s="31">
        <f>_xlfn.XLOOKUP(K59, Projects!$A:$A, Projects!$F:$F)</f>
        <v>45838</v>
      </c>
      <c r="N59" s="30">
        <f t="shared" si="0"/>
        <v>1</v>
      </c>
      <c r="O59" s="30" t="str">
        <f t="shared" si="1"/>
        <v>OK</v>
      </c>
    </row>
    <row r="60" spans="1:15" x14ac:dyDescent="0.3">
      <c r="A60" s="30" t="s">
        <v>612</v>
      </c>
      <c r="B60" s="30" t="s">
        <v>247</v>
      </c>
      <c r="C60">
        <v>44692</v>
      </c>
      <c r="D60" s="63">
        <v>44692</v>
      </c>
      <c r="E60" s="30" t="s">
        <v>54</v>
      </c>
      <c r="F60" s="30" t="s">
        <v>196</v>
      </c>
      <c r="G60" s="30" t="s">
        <v>55</v>
      </c>
      <c r="H60">
        <v>2022</v>
      </c>
      <c r="I60" s="30" t="s">
        <v>515</v>
      </c>
      <c r="J60" s="30" t="s">
        <v>587</v>
      </c>
      <c r="K60" s="30" t="s">
        <v>248</v>
      </c>
      <c r="L60" s="31">
        <f>_xlfn.XLOOKUP(K60, Projects!$A:$A, Projects!$D:$D)</f>
        <v>45748</v>
      </c>
      <c r="M60" s="31">
        <f>_xlfn.XLOOKUP(K60, Projects!$A:$A, Projects!$F:$F)</f>
        <v>46387</v>
      </c>
      <c r="N60" s="30">
        <f t="shared" si="0"/>
        <v>1</v>
      </c>
      <c r="O60" s="30" t="str">
        <f t="shared" si="1"/>
        <v>OK</v>
      </c>
    </row>
    <row r="61" spans="1:15" x14ac:dyDescent="0.3">
      <c r="A61" s="30" t="s">
        <v>622</v>
      </c>
      <c r="B61" s="30" t="s">
        <v>283</v>
      </c>
      <c r="C61">
        <v>43788</v>
      </c>
      <c r="D61" s="63">
        <v>43788</v>
      </c>
      <c r="E61" s="30" t="s">
        <v>31</v>
      </c>
      <c r="F61" s="30" t="s">
        <v>203</v>
      </c>
      <c r="G61" s="30" t="s">
        <v>13</v>
      </c>
      <c r="H61">
        <v>2019</v>
      </c>
      <c r="I61" s="30" t="s">
        <v>514</v>
      </c>
      <c r="J61" s="30" t="s">
        <v>562</v>
      </c>
      <c r="K61" s="30" t="s">
        <v>284</v>
      </c>
      <c r="L61" s="31">
        <f>_xlfn.XLOOKUP(K61, Projects!$A:$A, Projects!$D:$D)</f>
        <v>45748</v>
      </c>
      <c r="M61" s="31">
        <f>_xlfn.XLOOKUP(K61, Projects!$A:$A, Projects!$F:$F)</f>
        <v>46265</v>
      </c>
      <c r="N61" s="30">
        <f t="shared" si="0"/>
        <v>2</v>
      </c>
      <c r="O61" s="30" t="str">
        <f t="shared" si="1"/>
        <v>OK</v>
      </c>
    </row>
    <row r="62" spans="1:15" x14ac:dyDescent="0.3">
      <c r="A62" s="30" t="s">
        <v>629</v>
      </c>
      <c r="B62" s="30" t="s">
        <v>303</v>
      </c>
      <c r="C62">
        <v>43390</v>
      </c>
      <c r="D62" s="63">
        <v>43390</v>
      </c>
      <c r="E62" s="30" t="s">
        <v>31</v>
      </c>
      <c r="F62" s="30" t="s">
        <v>208</v>
      </c>
      <c r="G62" s="30" t="s">
        <v>13</v>
      </c>
      <c r="H62">
        <v>2018</v>
      </c>
      <c r="I62" s="30" t="s">
        <v>514</v>
      </c>
      <c r="J62" s="30" t="s">
        <v>532</v>
      </c>
      <c r="K62" s="30" t="s">
        <v>284</v>
      </c>
      <c r="L62" s="31">
        <f>_xlfn.XLOOKUP(K62, Projects!$A:$A, Projects!$D:$D)</f>
        <v>45748</v>
      </c>
      <c r="M62" s="31">
        <f>_xlfn.XLOOKUP(K62, Projects!$A:$A, Projects!$F:$F)</f>
        <v>46265</v>
      </c>
      <c r="N62" s="30">
        <f t="shared" si="0"/>
        <v>1</v>
      </c>
      <c r="O62" s="30" t="str">
        <f t="shared" si="1"/>
        <v>OK</v>
      </c>
    </row>
    <row r="63" spans="1:15" x14ac:dyDescent="0.3">
      <c r="A63" s="30" t="s">
        <v>633</v>
      </c>
      <c r="B63" s="30" t="s">
        <v>314</v>
      </c>
      <c r="C63">
        <v>44506</v>
      </c>
      <c r="D63" s="63">
        <v>44506</v>
      </c>
      <c r="E63" s="30" t="s">
        <v>54</v>
      </c>
      <c r="F63" s="30" t="s">
        <v>208</v>
      </c>
      <c r="G63" s="30" t="s">
        <v>13</v>
      </c>
      <c r="H63">
        <v>2021</v>
      </c>
      <c r="I63" s="30" t="s">
        <v>514</v>
      </c>
      <c r="J63" s="30" t="s">
        <v>575</v>
      </c>
      <c r="K63" s="30" t="s">
        <v>315</v>
      </c>
      <c r="L63" s="31">
        <f>_xlfn.XLOOKUP(K63, Projects!$A:$A, Projects!$D:$D)</f>
        <v>45748</v>
      </c>
      <c r="M63" s="31">
        <f>_xlfn.XLOOKUP(K63, Projects!$A:$A, Projects!$F:$F)</f>
        <v>46326</v>
      </c>
      <c r="N63" s="30">
        <f t="shared" si="0"/>
        <v>2</v>
      </c>
      <c r="O63" s="30" t="str">
        <f t="shared" si="1"/>
        <v>OK</v>
      </c>
    </row>
    <row r="64" spans="1:15" x14ac:dyDescent="0.3">
      <c r="A64" s="30" t="s">
        <v>635</v>
      </c>
      <c r="B64" s="30" t="s">
        <v>322</v>
      </c>
      <c r="C64">
        <v>42643</v>
      </c>
      <c r="D64" s="63">
        <v>42643</v>
      </c>
      <c r="E64" s="30" t="s">
        <v>31</v>
      </c>
      <c r="F64" s="30" t="s">
        <v>203</v>
      </c>
      <c r="G64" s="30" t="s">
        <v>55</v>
      </c>
      <c r="H64">
        <v>2016</v>
      </c>
      <c r="I64" s="30" t="s">
        <v>516</v>
      </c>
      <c r="J64" s="30" t="s">
        <v>613</v>
      </c>
      <c r="K64" s="30" t="s">
        <v>248</v>
      </c>
      <c r="L64" s="31">
        <f>_xlfn.XLOOKUP(K64, Projects!$A:$A, Projects!$D:$D)</f>
        <v>45748</v>
      </c>
      <c r="M64" s="31">
        <f>_xlfn.XLOOKUP(K64, Projects!$A:$A, Projects!$F:$F)</f>
        <v>46387</v>
      </c>
      <c r="N64" s="30">
        <f t="shared" si="0"/>
        <v>1</v>
      </c>
      <c r="O64" s="30" t="str">
        <f t="shared" si="1"/>
        <v>OK</v>
      </c>
    </row>
    <row r="65" spans="1:15" x14ac:dyDescent="0.3">
      <c r="A65" s="30" t="s">
        <v>329</v>
      </c>
      <c r="B65" s="30" t="s">
        <v>330</v>
      </c>
      <c r="C65">
        <v>45333</v>
      </c>
      <c r="D65" s="63">
        <v>45333</v>
      </c>
      <c r="E65" s="30" t="s">
        <v>11</v>
      </c>
      <c r="F65" s="30" t="s">
        <v>193</v>
      </c>
      <c r="G65" s="30" t="s">
        <v>13</v>
      </c>
      <c r="H65">
        <v>2024</v>
      </c>
      <c r="I65" s="30" t="s">
        <v>513</v>
      </c>
      <c r="J65" s="30" t="s">
        <v>542</v>
      </c>
      <c r="K65" s="30" t="s">
        <v>141</v>
      </c>
      <c r="L65" s="31">
        <f>_xlfn.XLOOKUP(K65, Projects!$A:$A, Projects!$D:$D)</f>
        <v>45748</v>
      </c>
      <c r="M65" s="31">
        <f>_xlfn.XLOOKUP(K65, Projects!$A:$A, Projects!$F:$F)</f>
        <v>46112</v>
      </c>
      <c r="N65" s="30">
        <f t="shared" si="0"/>
        <v>2</v>
      </c>
      <c r="O65" s="30" t="str">
        <f t="shared" si="1"/>
        <v>OK</v>
      </c>
    </row>
    <row r="66" spans="1:15" x14ac:dyDescent="0.3">
      <c r="A66" s="30" t="s">
        <v>641</v>
      </c>
      <c r="B66" s="30" t="s">
        <v>335</v>
      </c>
      <c r="D66" s="63"/>
      <c r="E66" s="30" t="s">
        <v>18</v>
      </c>
      <c r="F66" s="30" t="s">
        <v>189</v>
      </c>
      <c r="G66" s="30" t="s">
        <v>336</v>
      </c>
      <c r="H66" t="s">
        <v>511</v>
      </c>
      <c r="I66" s="30" t="s">
        <v>511</v>
      </c>
      <c r="J66" s="30" t="s">
        <v>511</v>
      </c>
      <c r="K66" s="30" t="s">
        <v>337</v>
      </c>
      <c r="L66" s="31">
        <f>_xlfn.XLOOKUP(K66, Projects!$A:$A, Projects!$D:$D)</f>
        <v>45748</v>
      </c>
      <c r="M66" s="31">
        <f>_xlfn.XLOOKUP(K66, Projects!$A:$A, Projects!$F:$F)</f>
        <v>46170</v>
      </c>
      <c r="N66" s="30">
        <f t="shared" ref="N66:N129" si="2">COUNTIFS(A:A,A66, L:L,"&lt;="&amp;M66, M:M,"&gt;="&amp;L66)</f>
        <v>1</v>
      </c>
      <c r="O66" s="30" t="str">
        <f t="shared" ref="O66:O129" si="3">IF(N66&gt;2,"Overallocated","OK")</f>
        <v>OK</v>
      </c>
    </row>
    <row r="67" spans="1:15" x14ac:dyDescent="0.3">
      <c r="A67" s="30" t="s">
        <v>644</v>
      </c>
      <c r="B67" s="30" t="s">
        <v>348</v>
      </c>
      <c r="C67">
        <v>46003</v>
      </c>
      <c r="D67" s="63">
        <v>46003</v>
      </c>
      <c r="E67" s="30" t="s">
        <v>346</v>
      </c>
      <c r="F67" s="30" t="s">
        <v>189</v>
      </c>
      <c r="G67" s="30" t="s">
        <v>114</v>
      </c>
      <c r="H67">
        <v>2025</v>
      </c>
      <c r="I67" s="30" t="s">
        <v>514</v>
      </c>
      <c r="J67" s="30" t="s">
        <v>640</v>
      </c>
      <c r="K67" s="30" t="s">
        <v>337</v>
      </c>
      <c r="L67" s="31">
        <f>_xlfn.XLOOKUP(K67, Projects!$A:$A, Projects!$D:$D)</f>
        <v>45748</v>
      </c>
      <c r="M67" s="31">
        <f>_xlfn.XLOOKUP(K67, Projects!$A:$A, Projects!$F:$F)</f>
        <v>46170</v>
      </c>
      <c r="N67" s="30">
        <f t="shared" si="2"/>
        <v>2</v>
      </c>
      <c r="O67" s="30" t="str">
        <f t="shared" si="3"/>
        <v>OK</v>
      </c>
    </row>
    <row r="68" spans="1:15" x14ac:dyDescent="0.3">
      <c r="A68" s="30" t="s">
        <v>649</v>
      </c>
      <c r="B68" s="30" t="s">
        <v>358</v>
      </c>
      <c r="C68" t="s">
        <v>359</v>
      </c>
      <c r="D68" s="63">
        <v>42735</v>
      </c>
      <c r="E68" s="30" t="s">
        <v>11</v>
      </c>
      <c r="F68" s="30" t="s">
        <v>12</v>
      </c>
      <c r="G68" s="30" t="s">
        <v>13</v>
      </c>
      <c r="H68">
        <v>2016</v>
      </c>
      <c r="I68" s="30" t="s">
        <v>514</v>
      </c>
      <c r="J68" s="30" t="s">
        <v>547</v>
      </c>
      <c r="K68" s="30" t="s">
        <v>108</v>
      </c>
      <c r="L68" s="31">
        <f>_xlfn.XLOOKUP(K68, Projects!$A:$A, Projects!$D:$D)</f>
        <v>45748</v>
      </c>
      <c r="M68" s="31">
        <f>_xlfn.XLOOKUP(K68, Projects!$A:$A, Projects!$F:$F)</f>
        <v>46387</v>
      </c>
      <c r="N68" s="30">
        <f t="shared" si="2"/>
        <v>6</v>
      </c>
      <c r="O68" s="30" t="str">
        <f t="shared" si="3"/>
        <v>Overallocated</v>
      </c>
    </row>
    <row r="69" spans="1:15" x14ac:dyDescent="0.3">
      <c r="A69" s="30" t="s">
        <v>171</v>
      </c>
      <c r="B69" s="30" t="s">
        <v>172</v>
      </c>
      <c r="C69">
        <v>44653</v>
      </c>
      <c r="D69" s="63">
        <v>44653</v>
      </c>
      <c r="E69" s="30" t="s">
        <v>54</v>
      </c>
      <c r="F69" s="30" t="s">
        <v>25</v>
      </c>
      <c r="G69" s="30" t="s">
        <v>55</v>
      </c>
      <c r="H69">
        <v>2022</v>
      </c>
      <c r="I69" s="30" t="s">
        <v>515</v>
      </c>
      <c r="J69" s="30" t="s">
        <v>587</v>
      </c>
      <c r="K69" s="30" t="s">
        <v>173</v>
      </c>
      <c r="L69" s="31">
        <f>_xlfn.XLOOKUP(K69, Projects!$A:$A, Projects!$D:$D)</f>
        <v>45748</v>
      </c>
      <c r="M69" s="31">
        <f>_xlfn.XLOOKUP(K69, Projects!$A:$A, Projects!$F:$F)</f>
        <v>45838</v>
      </c>
      <c r="N69" s="30">
        <f t="shared" si="2"/>
        <v>4</v>
      </c>
      <c r="O69" s="30" t="str">
        <f t="shared" si="3"/>
        <v>Overallocated</v>
      </c>
    </row>
    <row r="70" spans="1:15" x14ac:dyDescent="0.3">
      <c r="A70" s="30" t="s">
        <v>171</v>
      </c>
      <c r="B70" s="30" t="s">
        <v>172</v>
      </c>
      <c r="C70">
        <v>44653</v>
      </c>
      <c r="D70" s="63">
        <v>44653</v>
      </c>
      <c r="E70" s="30" t="s">
        <v>54</v>
      </c>
      <c r="F70" s="30" t="s">
        <v>25</v>
      </c>
      <c r="G70" s="30" t="s">
        <v>55</v>
      </c>
      <c r="H70">
        <v>2022</v>
      </c>
      <c r="I70" s="30" t="s">
        <v>515</v>
      </c>
      <c r="J70" s="30" t="s">
        <v>587</v>
      </c>
      <c r="K70" s="30" t="s">
        <v>63</v>
      </c>
      <c r="L70" s="31">
        <f>_xlfn.XLOOKUP(K70, Projects!$A:$A, Projects!$D:$D)</f>
        <v>45748</v>
      </c>
      <c r="M70" s="31">
        <f>_xlfn.XLOOKUP(K70, Projects!$A:$A, Projects!$F:$F)</f>
        <v>46387</v>
      </c>
      <c r="N70" s="30">
        <f t="shared" si="2"/>
        <v>4</v>
      </c>
      <c r="O70" s="30" t="str">
        <f t="shared" si="3"/>
        <v>Overallocated</v>
      </c>
    </row>
    <row r="71" spans="1:15" x14ac:dyDescent="0.3">
      <c r="A71" s="30" t="s">
        <v>650</v>
      </c>
      <c r="B71" s="30" t="s">
        <v>363</v>
      </c>
      <c r="C71">
        <v>45638</v>
      </c>
      <c r="D71" s="63">
        <v>45638</v>
      </c>
      <c r="E71" s="30" t="s">
        <v>54</v>
      </c>
      <c r="F71" s="30" t="s">
        <v>12</v>
      </c>
      <c r="G71" s="30" t="s">
        <v>13</v>
      </c>
      <c r="H71">
        <v>2024</v>
      </c>
      <c r="I71" s="30" t="s">
        <v>514</v>
      </c>
      <c r="J71" s="30" t="s">
        <v>585</v>
      </c>
      <c r="K71" s="30" t="s">
        <v>100</v>
      </c>
      <c r="L71" s="31">
        <f>_xlfn.XLOOKUP(K71, Projects!$A:$A, Projects!$D:$D)</f>
        <v>45748</v>
      </c>
      <c r="M71" s="31">
        <f>_xlfn.XLOOKUP(K71, Projects!$A:$A, Projects!$F:$F)</f>
        <v>46324</v>
      </c>
      <c r="N71" s="30">
        <f t="shared" si="2"/>
        <v>2</v>
      </c>
      <c r="O71" s="30" t="str">
        <f t="shared" si="3"/>
        <v>OK</v>
      </c>
    </row>
    <row r="72" spans="1:15" x14ac:dyDescent="0.3">
      <c r="A72" s="30" t="s">
        <v>622</v>
      </c>
      <c r="B72" s="30" t="s">
        <v>283</v>
      </c>
      <c r="C72">
        <v>43788</v>
      </c>
      <c r="D72" s="63">
        <v>43788</v>
      </c>
      <c r="E72" s="30" t="s">
        <v>31</v>
      </c>
      <c r="F72" s="30" t="s">
        <v>203</v>
      </c>
      <c r="G72" s="30" t="s">
        <v>13</v>
      </c>
      <c r="H72">
        <v>2019</v>
      </c>
      <c r="I72" s="30" t="s">
        <v>514</v>
      </c>
      <c r="J72" s="30" t="s">
        <v>562</v>
      </c>
      <c r="K72" s="30" t="s">
        <v>284</v>
      </c>
      <c r="L72" s="31">
        <f>_xlfn.XLOOKUP(K72, Projects!$A:$A, Projects!$D:$D)</f>
        <v>45748</v>
      </c>
      <c r="M72" s="31">
        <f>_xlfn.XLOOKUP(K72, Projects!$A:$A, Projects!$F:$F)</f>
        <v>46265</v>
      </c>
      <c r="N72" s="30">
        <f t="shared" si="2"/>
        <v>2</v>
      </c>
      <c r="O72" s="30" t="str">
        <f t="shared" si="3"/>
        <v>OK</v>
      </c>
    </row>
    <row r="73" spans="1:15" x14ac:dyDescent="0.3">
      <c r="A73" s="30" t="s">
        <v>657</v>
      </c>
      <c r="B73" s="30" t="s">
        <v>380</v>
      </c>
      <c r="C73" t="s">
        <v>341</v>
      </c>
      <c r="D73" s="63">
        <v>46014</v>
      </c>
      <c r="E73" s="30" t="s">
        <v>31</v>
      </c>
      <c r="F73" s="30" t="s">
        <v>203</v>
      </c>
      <c r="G73" s="30" t="s">
        <v>13</v>
      </c>
      <c r="H73">
        <v>2025</v>
      </c>
      <c r="I73" s="30" t="s">
        <v>514</v>
      </c>
      <c r="J73" s="30" t="s">
        <v>640</v>
      </c>
      <c r="K73" s="30" t="s">
        <v>315</v>
      </c>
      <c r="L73" s="31">
        <f>_xlfn.XLOOKUP(K73, Projects!$A:$A, Projects!$D:$D)</f>
        <v>45748</v>
      </c>
      <c r="M73" s="31">
        <f>_xlfn.XLOOKUP(K73, Projects!$A:$A, Projects!$F:$F)</f>
        <v>46326</v>
      </c>
      <c r="N73" s="30">
        <f t="shared" si="2"/>
        <v>2</v>
      </c>
      <c r="O73" s="30" t="str">
        <f t="shared" si="3"/>
        <v>OK</v>
      </c>
    </row>
    <row r="74" spans="1:15" x14ac:dyDescent="0.3">
      <c r="A74" s="30" t="s">
        <v>649</v>
      </c>
      <c r="B74" s="30" t="s">
        <v>358</v>
      </c>
      <c r="C74">
        <v>42735</v>
      </c>
      <c r="D74" s="63">
        <v>42735</v>
      </c>
      <c r="E74" s="30" t="s">
        <v>11</v>
      </c>
      <c r="F74" s="30" t="s">
        <v>12</v>
      </c>
      <c r="G74" s="30" t="s">
        <v>13</v>
      </c>
      <c r="H74">
        <v>2016</v>
      </c>
      <c r="I74" s="30" t="s">
        <v>514</v>
      </c>
      <c r="J74" s="30" t="s">
        <v>547</v>
      </c>
      <c r="K74" s="30" t="s">
        <v>108</v>
      </c>
      <c r="L74" s="31">
        <f>_xlfn.XLOOKUP(K74, Projects!$A:$A, Projects!$D:$D)</f>
        <v>45748</v>
      </c>
      <c r="M74" s="31">
        <f>_xlfn.XLOOKUP(K74, Projects!$A:$A, Projects!$F:$F)</f>
        <v>46387</v>
      </c>
      <c r="N74" s="30">
        <f t="shared" si="2"/>
        <v>6</v>
      </c>
      <c r="O74" s="30" t="str">
        <f t="shared" si="3"/>
        <v>Overallocated</v>
      </c>
    </row>
    <row r="75" spans="1:15" x14ac:dyDescent="0.3">
      <c r="A75" s="30" t="s">
        <v>531</v>
      </c>
      <c r="B75" s="30" t="s">
        <v>41</v>
      </c>
      <c r="C75">
        <v>43405</v>
      </c>
      <c r="D75" s="63">
        <v>43405</v>
      </c>
      <c r="E75" s="30" t="s">
        <v>42</v>
      </c>
      <c r="F75" s="30" t="s">
        <v>25</v>
      </c>
      <c r="G75" s="30" t="s">
        <v>13</v>
      </c>
      <c r="H75">
        <v>2018</v>
      </c>
      <c r="I75" s="30" t="s">
        <v>514</v>
      </c>
      <c r="J75" s="30" t="s">
        <v>532</v>
      </c>
      <c r="K75" s="30" t="s">
        <v>43</v>
      </c>
      <c r="L75" s="31">
        <f>_xlfn.XLOOKUP(K75, Projects!$A:$A, Projects!$D:$D)</f>
        <v>45764</v>
      </c>
      <c r="M75" s="31">
        <f>_xlfn.XLOOKUP(K75, Projects!$A:$A, Projects!$F:$F)</f>
        <v>46128</v>
      </c>
      <c r="N75" s="30">
        <f t="shared" si="2"/>
        <v>1</v>
      </c>
      <c r="O75" s="30" t="str">
        <f t="shared" si="3"/>
        <v>OK</v>
      </c>
    </row>
    <row r="76" spans="1:15" x14ac:dyDescent="0.3">
      <c r="A76" s="30" t="s">
        <v>127</v>
      </c>
      <c r="B76" s="30" t="s">
        <v>128</v>
      </c>
      <c r="C76">
        <v>42843</v>
      </c>
      <c r="D76" s="63">
        <v>42843</v>
      </c>
      <c r="E76" s="30" t="s">
        <v>31</v>
      </c>
      <c r="F76" s="30" t="s">
        <v>25</v>
      </c>
      <c r="G76" s="30" t="s">
        <v>114</v>
      </c>
      <c r="H76">
        <v>2017</v>
      </c>
      <c r="I76" s="30" t="s">
        <v>515</v>
      </c>
      <c r="J76" s="30" t="s">
        <v>534</v>
      </c>
      <c r="K76" s="30" t="s">
        <v>43</v>
      </c>
      <c r="L76" s="31">
        <f>_xlfn.XLOOKUP(K76, Projects!$A:$A, Projects!$D:$D)</f>
        <v>45764</v>
      </c>
      <c r="M76" s="31">
        <f>_xlfn.XLOOKUP(K76, Projects!$A:$A, Projects!$F:$F)</f>
        <v>46128</v>
      </c>
      <c r="N76" s="30">
        <f t="shared" si="2"/>
        <v>2</v>
      </c>
      <c r="O76" s="30" t="str">
        <f t="shared" si="3"/>
        <v>OK</v>
      </c>
    </row>
    <row r="77" spans="1:15" x14ac:dyDescent="0.3">
      <c r="A77" s="30" t="s">
        <v>607</v>
      </c>
      <c r="B77" s="30" t="s">
        <v>232</v>
      </c>
      <c r="C77">
        <v>44599</v>
      </c>
      <c r="D77" s="63">
        <v>44599</v>
      </c>
      <c r="E77" s="30" t="s">
        <v>54</v>
      </c>
      <c r="F77" s="30" t="s">
        <v>193</v>
      </c>
      <c r="G77" s="30" t="s">
        <v>55</v>
      </c>
      <c r="H77">
        <v>2022</v>
      </c>
      <c r="I77" s="30" t="s">
        <v>513</v>
      </c>
      <c r="J77" s="30" t="s">
        <v>523</v>
      </c>
      <c r="K77" s="30" t="s">
        <v>43</v>
      </c>
      <c r="L77" s="31">
        <f>_xlfn.XLOOKUP(K77, Projects!$A:$A, Projects!$D:$D)</f>
        <v>45764</v>
      </c>
      <c r="M77" s="31">
        <f>_xlfn.XLOOKUP(K77, Projects!$A:$A, Projects!$F:$F)</f>
        <v>46128</v>
      </c>
      <c r="N77" s="30">
        <f t="shared" si="2"/>
        <v>1</v>
      </c>
      <c r="O77" s="30" t="str">
        <f t="shared" si="3"/>
        <v>OK</v>
      </c>
    </row>
    <row r="78" spans="1:15" x14ac:dyDescent="0.3">
      <c r="A78" s="30" t="s">
        <v>206</v>
      </c>
      <c r="B78" s="30" t="s">
        <v>207</v>
      </c>
      <c r="C78">
        <v>42420</v>
      </c>
      <c r="D78" s="63">
        <v>42420</v>
      </c>
      <c r="E78" s="30" t="s">
        <v>31</v>
      </c>
      <c r="F78" s="30" t="s">
        <v>208</v>
      </c>
      <c r="G78" s="30" t="s">
        <v>13</v>
      </c>
      <c r="H78">
        <v>2016</v>
      </c>
      <c r="I78" s="30" t="s">
        <v>513</v>
      </c>
      <c r="J78" s="30" t="s">
        <v>560</v>
      </c>
      <c r="K78" s="30" t="s">
        <v>209</v>
      </c>
      <c r="L78" s="31">
        <f>_xlfn.XLOOKUP(K78, Projects!$A:$A, Projects!$D:$D)</f>
        <v>45789</v>
      </c>
      <c r="M78" s="31">
        <f>_xlfn.XLOOKUP(K78, Projects!$A:$A, Projects!$F:$F)</f>
        <v>46234</v>
      </c>
      <c r="N78" s="30">
        <f t="shared" si="2"/>
        <v>2</v>
      </c>
      <c r="O78" s="30" t="str">
        <f t="shared" si="3"/>
        <v>OK</v>
      </c>
    </row>
    <row r="79" spans="1:15" x14ac:dyDescent="0.3">
      <c r="A79" s="30" t="s">
        <v>297</v>
      </c>
      <c r="B79" s="30" t="s">
        <v>298</v>
      </c>
      <c r="C79">
        <v>42909</v>
      </c>
      <c r="D79" s="63">
        <v>42909</v>
      </c>
      <c r="E79" s="30" t="s">
        <v>24</v>
      </c>
      <c r="F79" s="30" t="s">
        <v>203</v>
      </c>
      <c r="G79" s="30" t="s">
        <v>13</v>
      </c>
      <c r="H79">
        <v>2017</v>
      </c>
      <c r="I79" s="30" t="s">
        <v>515</v>
      </c>
      <c r="J79" s="30" t="s">
        <v>534</v>
      </c>
      <c r="K79" s="30" t="s">
        <v>209</v>
      </c>
      <c r="L79" s="31">
        <f>_xlfn.XLOOKUP(K79, Projects!$A:$A, Projects!$D:$D)</f>
        <v>45789</v>
      </c>
      <c r="M79" s="31">
        <f>_xlfn.XLOOKUP(K79, Projects!$A:$A, Projects!$F:$F)</f>
        <v>46234</v>
      </c>
      <c r="N79" s="30">
        <f t="shared" si="2"/>
        <v>1</v>
      </c>
      <c r="O79" s="30" t="str">
        <f t="shared" si="3"/>
        <v>OK</v>
      </c>
    </row>
    <row r="80" spans="1:15" x14ac:dyDescent="0.3">
      <c r="A80" s="30" t="s">
        <v>655</v>
      </c>
      <c r="B80" s="30" t="s">
        <v>375</v>
      </c>
      <c r="C80">
        <v>42494</v>
      </c>
      <c r="D80" s="63">
        <v>42494</v>
      </c>
      <c r="E80" s="30" t="s">
        <v>24</v>
      </c>
      <c r="F80" s="30" t="s">
        <v>203</v>
      </c>
      <c r="G80" s="30" t="s">
        <v>13</v>
      </c>
      <c r="H80">
        <v>2016</v>
      </c>
      <c r="I80" s="30" t="s">
        <v>515</v>
      </c>
      <c r="J80" s="30" t="s">
        <v>571</v>
      </c>
      <c r="K80" s="30" t="s">
        <v>209</v>
      </c>
      <c r="L80" s="31">
        <f>_xlfn.XLOOKUP(K80, Projects!$A:$A, Projects!$D:$D)</f>
        <v>45789</v>
      </c>
      <c r="M80" s="31">
        <f>_xlfn.XLOOKUP(K80, Projects!$A:$A, Projects!$F:$F)</f>
        <v>46234</v>
      </c>
      <c r="N80" s="30">
        <f t="shared" si="2"/>
        <v>1</v>
      </c>
      <c r="O80" s="30" t="str">
        <f t="shared" si="3"/>
        <v>OK</v>
      </c>
    </row>
    <row r="81" spans="1:15" x14ac:dyDescent="0.3">
      <c r="A81" s="30" t="s">
        <v>527</v>
      </c>
      <c r="B81" s="30" t="s">
        <v>29</v>
      </c>
      <c r="C81" t="s">
        <v>30</v>
      </c>
      <c r="D81" s="63">
        <v>43539</v>
      </c>
      <c r="E81" s="30" t="s">
        <v>31</v>
      </c>
      <c r="F81" s="30" t="s">
        <v>19</v>
      </c>
      <c r="G81" s="30" t="s">
        <v>13</v>
      </c>
      <c r="H81">
        <v>2019</v>
      </c>
      <c r="I81" s="30" t="s">
        <v>513</v>
      </c>
      <c r="J81" s="30" t="s">
        <v>528</v>
      </c>
      <c r="K81" s="30" t="s">
        <v>33</v>
      </c>
      <c r="L81" s="31">
        <f>_xlfn.XLOOKUP(K81, Projects!$A:$A, Projects!$D:$D)</f>
        <v>45793</v>
      </c>
      <c r="M81" s="31">
        <f>_xlfn.XLOOKUP(K81, Projects!$A:$A, Projects!$F:$F)</f>
        <v>46242</v>
      </c>
      <c r="N81" s="30">
        <f t="shared" si="2"/>
        <v>2</v>
      </c>
      <c r="O81" s="30" t="str">
        <f t="shared" si="3"/>
        <v>OK</v>
      </c>
    </row>
    <row r="82" spans="1:15" x14ac:dyDescent="0.3">
      <c r="A82" s="30" t="s">
        <v>548</v>
      </c>
      <c r="B82" s="30" t="s">
        <v>83</v>
      </c>
      <c r="C82">
        <v>44423</v>
      </c>
      <c r="D82" s="63">
        <v>44423</v>
      </c>
      <c r="E82" s="30" t="s">
        <v>31</v>
      </c>
      <c r="F82" s="30" t="s">
        <v>19</v>
      </c>
      <c r="G82" s="30" t="s">
        <v>13</v>
      </c>
      <c r="H82">
        <v>2021</v>
      </c>
      <c r="I82" s="30" t="s">
        <v>516</v>
      </c>
      <c r="J82" s="30" t="s">
        <v>549</v>
      </c>
      <c r="K82" s="30" t="s">
        <v>33</v>
      </c>
      <c r="L82" s="31">
        <f>_xlfn.XLOOKUP(K82, Projects!$A:$A, Projects!$D:$D)</f>
        <v>45793</v>
      </c>
      <c r="M82" s="31">
        <f>_xlfn.XLOOKUP(K82, Projects!$A:$A, Projects!$F:$F)</f>
        <v>46242</v>
      </c>
      <c r="N82" s="30">
        <f t="shared" si="2"/>
        <v>2</v>
      </c>
      <c r="O82" s="30" t="str">
        <f t="shared" si="3"/>
        <v>OK</v>
      </c>
    </row>
    <row r="83" spans="1:15" x14ac:dyDescent="0.3">
      <c r="A83" s="30" t="s">
        <v>611</v>
      </c>
      <c r="B83" s="30" t="s">
        <v>245</v>
      </c>
      <c r="C83">
        <v>42943</v>
      </c>
      <c r="D83" s="63">
        <v>42943</v>
      </c>
      <c r="E83" s="30" t="s">
        <v>31</v>
      </c>
      <c r="F83" s="30" t="s">
        <v>193</v>
      </c>
      <c r="G83" s="30" t="s">
        <v>13</v>
      </c>
      <c r="H83">
        <v>2017</v>
      </c>
      <c r="I83" s="30" t="s">
        <v>516</v>
      </c>
      <c r="J83" s="30" t="s">
        <v>604</v>
      </c>
      <c r="K83" s="30" t="s">
        <v>33</v>
      </c>
      <c r="L83" s="31">
        <f>_xlfn.XLOOKUP(K83, Projects!$A:$A, Projects!$D:$D)</f>
        <v>45793</v>
      </c>
      <c r="M83" s="31">
        <f>_xlfn.XLOOKUP(K83, Projects!$A:$A, Projects!$F:$F)</f>
        <v>46242</v>
      </c>
      <c r="N83" s="30">
        <f t="shared" si="2"/>
        <v>2</v>
      </c>
      <c r="O83" s="30" t="str">
        <f t="shared" si="3"/>
        <v>OK</v>
      </c>
    </row>
    <row r="84" spans="1:15" x14ac:dyDescent="0.3">
      <c r="A84" s="30" t="s">
        <v>621</v>
      </c>
      <c r="B84" s="30" t="s">
        <v>277</v>
      </c>
      <c r="C84">
        <v>43788</v>
      </c>
      <c r="D84" s="63">
        <v>43788</v>
      </c>
      <c r="E84" s="30" t="s">
        <v>31</v>
      </c>
      <c r="F84" s="30" t="s">
        <v>189</v>
      </c>
      <c r="G84" s="30" t="s">
        <v>13</v>
      </c>
      <c r="H84">
        <v>2019</v>
      </c>
      <c r="I84" s="30" t="s">
        <v>514</v>
      </c>
      <c r="J84" s="30" t="s">
        <v>562</v>
      </c>
      <c r="K84" s="30" t="s">
        <v>278</v>
      </c>
      <c r="L84" s="31">
        <f>_xlfn.XLOOKUP(K84, Projects!$A:$A, Projects!$D:$D)</f>
        <v>45793</v>
      </c>
      <c r="M84" s="31">
        <f>_xlfn.XLOOKUP(K84, Projects!$A:$A, Projects!$F:$F)</f>
        <v>46172</v>
      </c>
      <c r="N84" s="30">
        <f t="shared" si="2"/>
        <v>2</v>
      </c>
      <c r="O84" s="30" t="str">
        <f t="shared" si="3"/>
        <v>OK</v>
      </c>
    </row>
    <row r="85" spans="1:15" x14ac:dyDescent="0.3">
      <c r="A85" s="30" t="s">
        <v>642</v>
      </c>
      <c r="B85" s="30" t="s">
        <v>340</v>
      </c>
      <c r="C85" t="s">
        <v>341</v>
      </c>
      <c r="D85" s="63">
        <v>46014</v>
      </c>
      <c r="E85" s="30" t="s">
        <v>24</v>
      </c>
      <c r="F85" s="30" t="s">
        <v>189</v>
      </c>
      <c r="G85" s="30" t="s">
        <v>13</v>
      </c>
      <c r="H85">
        <v>2025</v>
      </c>
      <c r="I85" s="30" t="s">
        <v>514</v>
      </c>
      <c r="J85" s="30" t="s">
        <v>640</v>
      </c>
      <c r="K85" s="30" t="s">
        <v>278</v>
      </c>
      <c r="L85" s="31">
        <f>_xlfn.XLOOKUP(K85, Projects!$A:$A, Projects!$D:$D)</f>
        <v>45793</v>
      </c>
      <c r="M85" s="31">
        <f>_xlfn.XLOOKUP(K85, Projects!$A:$A, Projects!$F:$F)</f>
        <v>46172</v>
      </c>
      <c r="N85" s="30">
        <f t="shared" si="2"/>
        <v>2</v>
      </c>
      <c r="O85" s="30" t="str">
        <f t="shared" si="3"/>
        <v>OK</v>
      </c>
    </row>
    <row r="86" spans="1:15" x14ac:dyDescent="0.3">
      <c r="A86" s="30" t="s">
        <v>602</v>
      </c>
      <c r="B86" s="30" t="s">
        <v>217</v>
      </c>
      <c r="C86">
        <v>43125</v>
      </c>
      <c r="D86" s="63">
        <v>43125</v>
      </c>
      <c r="E86" s="30" t="s">
        <v>170</v>
      </c>
      <c r="F86" s="30" t="s">
        <v>196</v>
      </c>
      <c r="G86" s="30" t="s">
        <v>13</v>
      </c>
      <c r="H86">
        <v>2018</v>
      </c>
      <c r="I86" s="30" t="s">
        <v>513</v>
      </c>
      <c r="J86" s="30" t="s">
        <v>576</v>
      </c>
      <c r="K86" s="30" t="s">
        <v>218</v>
      </c>
      <c r="L86" s="31">
        <f>_xlfn.XLOOKUP(K86, Projects!$A:$A, Projects!$D:$D)</f>
        <v>45803</v>
      </c>
      <c r="M86" s="31">
        <f>_xlfn.XLOOKUP(K86, Projects!$A:$A, Projects!$F:$F)</f>
        <v>46022</v>
      </c>
      <c r="N86" s="30">
        <f t="shared" si="2"/>
        <v>3</v>
      </c>
      <c r="O86" s="30" t="str">
        <f t="shared" si="3"/>
        <v>Overallocated</v>
      </c>
    </row>
    <row r="87" spans="1:15" x14ac:dyDescent="0.3">
      <c r="A87" s="30" t="s">
        <v>659</v>
      </c>
      <c r="B87" s="30" t="s">
        <v>385</v>
      </c>
      <c r="C87">
        <v>42494</v>
      </c>
      <c r="D87" s="63">
        <v>42494</v>
      </c>
      <c r="E87" s="30" t="s">
        <v>54</v>
      </c>
      <c r="F87" s="30" t="s">
        <v>203</v>
      </c>
      <c r="G87" s="30" t="s">
        <v>114</v>
      </c>
      <c r="H87">
        <v>2016</v>
      </c>
      <c r="I87" s="30" t="s">
        <v>515</v>
      </c>
      <c r="J87" s="30" t="s">
        <v>571</v>
      </c>
      <c r="K87" s="30" t="s">
        <v>218</v>
      </c>
      <c r="L87" s="31">
        <f>_xlfn.XLOOKUP(K87, Projects!$A:$A, Projects!$D:$D)</f>
        <v>45803</v>
      </c>
      <c r="M87" s="31">
        <f>_xlfn.XLOOKUP(K87, Projects!$A:$A, Projects!$F:$F)</f>
        <v>46022</v>
      </c>
      <c r="N87" s="30">
        <f t="shared" si="2"/>
        <v>2</v>
      </c>
      <c r="O87" s="30" t="str">
        <f t="shared" si="3"/>
        <v>OK</v>
      </c>
    </row>
    <row r="88" spans="1:15" x14ac:dyDescent="0.3">
      <c r="A88" s="30" t="s">
        <v>598</v>
      </c>
      <c r="B88" s="30" t="s">
        <v>199</v>
      </c>
      <c r="C88">
        <v>44440</v>
      </c>
      <c r="D88" s="63">
        <v>44440</v>
      </c>
      <c r="E88" s="30" t="s">
        <v>31</v>
      </c>
      <c r="F88" s="30" t="s">
        <v>189</v>
      </c>
      <c r="G88" s="30" t="s">
        <v>13</v>
      </c>
      <c r="H88">
        <v>2021</v>
      </c>
      <c r="I88" s="30" t="s">
        <v>516</v>
      </c>
      <c r="J88" s="30" t="s">
        <v>549</v>
      </c>
      <c r="K88" s="30" t="s">
        <v>200</v>
      </c>
      <c r="L88" s="31">
        <f>_xlfn.XLOOKUP(K88, Projects!$A:$A, Projects!$D:$D)</f>
        <v>45810</v>
      </c>
      <c r="M88" s="31">
        <f>_xlfn.XLOOKUP(K88, Projects!$A:$A, Projects!$F:$F)</f>
        <v>46224</v>
      </c>
      <c r="N88" s="30">
        <f t="shared" si="2"/>
        <v>2</v>
      </c>
      <c r="O88" s="30" t="str">
        <f t="shared" si="3"/>
        <v>OK</v>
      </c>
    </row>
    <row r="89" spans="1:15" x14ac:dyDescent="0.3">
      <c r="A89" s="30" t="s">
        <v>606</v>
      </c>
      <c r="B89" s="30" t="s">
        <v>229</v>
      </c>
      <c r="C89">
        <v>42479</v>
      </c>
      <c r="D89" s="63">
        <v>42479</v>
      </c>
      <c r="E89" s="30" t="s">
        <v>24</v>
      </c>
      <c r="F89" s="30" t="s">
        <v>189</v>
      </c>
      <c r="G89" s="30" t="s">
        <v>13</v>
      </c>
      <c r="H89">
        <v>2016</v>
      </c>
      <c r="I89" s="30" t="s">
        <v>515</v>
      </c>
      <c r="J89" s="30" t="s">
        <v>571</v>
      </c>
      <c r="K89" s="30" t="s">
        <v>200</v>
      </c>
      <c r="L89" s="31">
        <f>_xlfn.XLOOKUP(K89, Projects!$A:$A, Projects!$D:$D)</f>
        <v>45810</v>
      </c>
      <c r="M89" s="31">
        <f>_xlfn.XLOOKUP(K89, Projects!$A:$A, Projects!$F:$F)</f>
        <v>46224</v>
      </c>
      <c r="N89" s="30">
        <f t="shared" si="2"/>
        <v>3</v>
      </c>
      <c r="O89" s="30" t="str">
        <f t="shared" si="3"/>
        <v>Overallocated</v>
      </c>
    </row>
    <row r="90" spans="1:15" x14ac:dyDescent="0.3">
      <c r="A90" s="30" t="s">
        <v>650</v>
      </c>
      <c r="B90" s="30" t="s">
        <v>363</v>
      </c>
      <c r="C90">
        <v>45638</v>
      </c>
      <c r="D90" s="63">
        <v>45638</v>
      </c>
      <c r="E90" s="30" t="s">
        <v>54</v>
      </c>
      <c r="F90" s="30" t="s">
        <v>12</v>
      </c>
      <c r="G90" s="30" t="s">
        <v>13</v>
      </c>
      <c r="H90">
        <v>2024</v>
      </c>
      <c r="I90" s="30" t="s">
        <v>514</v>
      </c>
      <c r="J90" s="30" t="s">
        <v>585</v>
      </c>
      <c r="K90" s="30" t="s">
        <v>200</v>
      </c>
      <c r="L90" s="31">
        <f>_xlfn.XLOOKUP(K90, Projects!$A:$A, Projects!$D:$D)</f>
        <v>45810</v>
      </c>
      <c r="M90" s="31">
        <f>_xlfn.XLOOKUP(K90, Projects!$A:$A, Projects!$F:$F)</f>
        <v>46224</v>
      </c>
      <c r="N90" s="30">
        <f t="shared" si="2"/>
        <v>2</v>
      </c>
      <c r="O90" s="30" t="str">
        <f t="shared" si="3"/>
        <v>OK</v>
      </c>
    </row>
    <row r="91" spans="1:15" x14ac:dyDescent="0.3">
      <c r="A91" s="30" t="s">
        <v>543</v>
      </c>
      <c r="B91" s="30" t="s">
        <v>71</v>
      </c>
      <c r="C91">
        <v>42780</v>
      </c>
      <c r="D91" s="63">
        <v>42780</v>
      </c>
      <c r="E91" s="30" t="s">
        <v>31</v>
      </c>
      <c r="F91" s="30" t="s">
        <v>19</v>
      </c>
      <c r="G91" s="30" t="s">
        <v>13</v>
      </c>
      <c r="H91">
        <v>2017</v>
      </c>
      <c r="I91" s="30" t="s">
        <v>513</v>
      </c>
      <c r="J91" s="30" t="s">
        <v>544</v>
      </c>
      <c r="K91" s="30" t="s">
        <v>73</v>
      </c>
      <c r="L91" s="31">
        <f>_xlfn.XLOOKUP(K91, Projects!$A:$A, Projects!$D:$D)</f>
        <v>45820</v>
      </c>
      <c r="M91" s="31">
        <f>_xlfn.XLOOKUP(K91, Projects!$A:$A, Projects!$F:$F)</f>
        <v>46249</v>
      </c>
      <c r="N91" s="30">
        <f t="shared" si="2"/>
        <v>2</v>
      </c>
      <c r="O91" s="30" t="str">
        <f t="shared" si="3"/>
        <v>OK</v>
      </c>
    </row>
    <row r="92" spans="1:15" x14ac:dyDescent="0.3">
      <c r="A92" s="30" t="s">
        <v>586</v>
      </c>
      <c r="B92" s="30" t="s">
        <v>169</v>
      </c>
      <c r="C92">
        <v>43226</v>
      </c>
      <c r="D92" s="63">
        <v>43226</v>
      </c>
      <c r="E92" s="30" t="s">
        <v>170</v>
      </c>
      <c r="F92" s="30" t="s">
        <v>12</v>
      </c>
      <c r="G92" s="30" t="s">
        <v>13</v>
      </c>
      <c r="H92">
        <v>2018</v>
      </c>
      <c r="I92" s="30" t="s">
        <v>515</v>
      </c>
      <c r="J92" s="30" t="s">
        <v>555</v>
      </c>
      <c r="K92" s="30" t="s">
        <v>73</v>
      </c>
      <c r="L92" s="31">
        <f>_xlfn.XLOOKUP(K92, Projects!$A:$A, Projects!$D:$D)</f>
        <v>45820</v>
      </c>
      <c r="M92" s="31">
        <f>_xlfn.XLOOKUP(K92, Projects!$A:$A, Projects!$F:$F)</f>
        <v>46249</v>
      </c>
      <c r="N92" s="30">
        <f t="shared" si="2"/>
        <v>2</v>
      </c>
      <c r="O92" s="30" t="str">
        <f t="shared" si="3"/>
        <v>OK</v>
      </c>
    </row>
    <row r="93" spans="1:15" x14ac:dyDescent="0.3">
      <c r="A93" s="30" t="s">
        <v>574</v>
      </c>
      <c r="B93" s="30" t="s">
        <v>140</v>
      </c>
      <c r="C93">
        <v>44499</v>
      </c>
      <c r="D93" s="63">
        <v>44499</v>
      </c>
      <c r="E93" s="30" t="s">
        <v>31</v>
      </c>
      <c r="F93" s="30" t="s">
        <v>19</v>
      </c>
      <c r="G93" s="30" t="s">
        <v>13</v>
      </c>
      <c r="H93">
        <v>2021</v>
      </c>
      <c r="I93" s="30" t="s">
        <v>514</v>
      </c>
      <c r="J93" s="30" t="s">
        <v>575</v>
      </c>
      <c r="K93" s="30" t="s">
        <v>142</v>
      </c>
      <c r="L93" s="31">
        <f>_xlfn.XLOOKUP(K93, Projects!$A:$A, Projects!$D:$D)</f>
        <v>45823</v>
      </c>
      <c r="M93" s="31">
        <f>_xlfn.XLOOKUP(K93, Projects!$A:$A, Projects!$F:$F)</f>
        <v>46053</v>
      </c>
      <c r="N93" s="30">
        <f t="shared" si="2"/>
        <v>2</v>
      </c>
      <c r="O93" s="30" t="str">
        <f t="shared" si="3"/>
        <v>OK</v>
      </c>
    </row>
    <row r="94" spans="1:15" x14ac:dyDescent="0.3">
      <c r="A94" s="30" t="s">
        <v>652</v>
      </c>
      <c r="B94" s="30" t="s">
        <v>367</v>
      </c>
      <c r="C94">
        <v>43159</v>
      </c>
      <c r="D94" s="63">
        <v>43159</v>
      </c>
      <c r="E94" s="30" t="s">
        <v>24</v>
      </c>
      <c r="F94" s="30" t="s">
        <v>12</v>
      </c>
      <c r="G94" s="30" t="s">
        <v>13</v>
      </c>
      <c r="H94">
        <v>2018</v>
      </c>
      <c r="I94" s="30" t="s">
        <v>513</v>
      </c>
      <c r="J94" s="30" t="s">
        <v>576</v>
      </c>
      <c r="K94" s="30" t="s">
        <v>142</v>
      </c>
      <c r="L94" s="31">
        <f>_xlfn.XLOOKUP(K94, Projects!$A:$A, Projects!$D:$D)</f>
        <v>45823</v>
      </c>
      <c r="M94" s="31">
        <f>_xlfn.XLOOKUP(K94, Projects!$A:$A, Projects!$F:$F)</f>
        <v>46053</v>
      </c>
      <c r="N94" s="30">
        <f t="shared" si="2"/>
        <v>3</v>
      </c>
      <c r="O94" s="30" t="str">
        <f t="shared" si="3"/>
        <v>Overallocated</v>
      </c>
    </row>
    <row r="95" spans="1:15" x14ac:dyDescent="0.3">
      <c r="A95" s="30" t="s">
        <v>561</v>
      </c>
      <c r="B95" s="30" t="s">
        <v>116</v>
      </c>
      <c r="C95">
        <v>43777</v>
      </c>
      <c r="D95" s="63">
        <v>43777</v>
      </c>
      <c r="E95" s="30" t="s">
        <v>31</v>
      </c>
      <c r="F95" s="30" t="s">
        <v>12</v>
      </c>
      <c r="G95" s="30" t="s">
        <v>13</v>
      </c>
      <c r="H95">
        <v>2019</v>
      </c>
      <c r="I95" s="30" t="s">
        <v>514</v>
      </c>
      <c r="J95" s="30" t="s">
        <v>562</v>
      </c>
      <c r="K95" s="30" t="s">
        <v>117</v>
      </c>
      <c r="L95" s="31">
        <f>_xlfn.XLOOKUP(K95, Projects!$A:$A, Projects!$D:$D)</f>
        <v>45824</v>
      </c>
      <c r="M95" s="31">
        <f>_xlfn.XLOOKUP(K95, Projects!$A:$A, Projects!$F:$F)</f>
        <v>46291</v>
      </c>
      <c r="N95" s="30">
        <f t="shared" si="2"/>
        <v>2</v>
      </c>
      <c r="O95" s="30" t="str">
        <f t="shared" si="3"/>
        <v>OK</v>
      </c>
    </row>
    <row r="96" spans="1:15" x14ac:dyDescent="0.3">
      <c r="A96" s="30" t="s">
        <v>652</v>
      </c>
      <c r="B96" s="30" t="s">
        <v>367</v>
      </c>
      <c r="C96">
        <v>43159</v>
      </c>
      <c r="D96" s="63">
        <v>43159</v>
      </c>
      <c r="E96" s="30" t="s">
        <v>24</v>
      </c>
      <c r="F96" s="30" t="s">
        <v>12</v>
      </c>
      <c r="G96" s="30" t="s">
        <v>13</v>
      </c>
      <c r="H96">
        <v>2018</v>
      </c>
      <c r="I96" s="30" t="s">
        <v>513</v>
      </c>
      <c r="J96" s="30" t="s">
        <v>576</v>
      </c>
      <c r="K96" s="30" t="s">
        <v>117</v>
      </c>
      <c r="L96" s="31">
        <f>_xlfn.XLOOKUP(K96, Projects!$A:$A, Projects!$D:$D)</f>
        <v>45824</v>
      </c>
      <c r="M96" s="31">
        <f>_xlfn.XLOOKUP(K96, Projects!$A:$A, Projects!$F:$F)</f>
        <v>46291</v>
      </c>
      <c r="N96" s="30">
        <f t="shared" si="2"/>
        <v>3</v>
      </c>
      <c r="O96" s="30" t="str">
        <f t="shared" si="3"/>
        <v>Overallocated</v>
      </c>
    </row>
    <row r="97" spans="1:15" x14ac:dyDescent="0.3">
      <c r="A97" s="30" t="s">
        <v>656</v>
      </c>
      <c r="B97" s="30" t="s">
        <v>377</v>
      </c>
      <c r="C97">
        <v>42816</v>
      </c>
      <c r="D97" s="63">
        <v>42816</v>
      </c>
      <c r="E97" s="30" t="s">
        <v>170</v>
      </c>
      <c r="F97" s="30" t="s">
        <v>203</v>
      </c>
      <c r="G97" s="30" t="s">
        <v>13</v>
      </c>
      <c r="H97">
        <v>2017</v>
      </c>
      <c r="I97" s="30" t="s">
        <v>513</v>
      </c>
      <c r="J97" s="30" t="s">
        <v>544</v>
      </c>
      <c r="K97" s="30" t="s">
        <v>117</v>
      </c>
      <c r="L97" s="31">
        <f>_xlfn.XLOOKUP(K97, Projects!$A:$A, Projects!$D:$D)</f>
        <v>45824</v>
      </c>
      <c r="M97" s="31">
        <f>_xlfn.XLOOKUP(K97, Projects!$A:$A, Projects!$F:$F)</f>
        <v>46291</v>
      </c>
      <c r="N97" s="30">
        <f t="shared" si="2"/>
        <v>2</v>
      </c>
      <c r="O97" s="30" t="str">
        <f t="shared" si="3"/>
        <v>OK</v>
      </c>
    </row>
    <row r="98" spans="1:15" x14ac:dyDescent="0.3">
      <c r="A98" s="30" t="s">
        <v>569</v>
      </c>
      <c r="B98" s="30" t="s">
        <v>130</v>
      </c>
      <c r="C98">
        <v>43492</v>
      </c>
      <c r="D98" s="63">
        <v>43492</v>
      </c>
      <c r="E98" s="30" t="s">
        <v>36</v>
      </c>
      <c r="F98" s="30" t="s">
        <v>19</v>
      </c>
      <c r="G98" s="30" t="s">
        <v>13</v>
      </c>
      <c r="H98">
        <v>2019</v>
      </c>
      <c r="I98" s="30" t="s">
        <v>513</v>
      </c>
      <c r="J98" s="30" t="s">
        <v>528</v>
      </c>
      <c r="K98" s="30" t="s">
        <v>132</v>
      </c>
      <c r="L98" s="31">
        <f>_xlfn.XLOOKUP(K98, Projects!$A:$A, Projects!$D:$D)</f>
        <v>45839</v>
      </c>
      <c r="M98" s="31">
        <f>_xlfn.XLOOKUP(K98, Projects!$A:$A, Projects!$F:$F)</f>
        <v>46234</v>
      </c>
      <c r="N98" s="30">
        <f t="shared" si="2"/>
        <v>2</v>
      </c>
      <c r="O98" s="30" t="str">
        <f t="shared" si="3"/>
        <v>OK</v>
      </c>
    </row>
    <row r="99" spans="1:15" x14ac:dyDescent="0.3">
      <c r="A99" s="30" t="s">
        <v>601</v>
      </c>
      <c r="B99" s="30" t="s">
        <v>214</v>
      </c>
      <c r="C99">
        <v>44060</v>
      </c>
      <c r="D99" s="63">
        <v>44060</v>
      </c>
      <c r="E99" s="30" t="s">
        <v>31</v>
      </c>
      <c r="F99" s="30" t="s">
        <v>189</v>
      </c>
      <c r="G99" s="30" t="s">
        <v>13</v>
      </c>
      <c r="H99">
        <v>2020</v>
      </c>
      <c r="I99" s="30" t="s">
        <v>516</v>
      </c>
      <c r="J99" s="30" t="s">
        <v>526</v>
      </c>
      <c r="K99" s="30" t="s">
        <v>215</v>
      </c>
      <c r="L99" s="31">
        <f>_xlfn.XLOOKUP(K99, Projects!$A:$A, Projects!$D:$D)</f>
        <v>45839</v>
      </c>
      <c r="M99" s="31">
        <f>_xlfn.XLOOKUP(K99, Projects!$A:$A, Projects!$F:$F)</f>
        <v>46387</v>
      </c>
      <c r="N99" s="30">
        <f t="shared" si="2"/>
        <v>2</v>
      </c>
      <c r="O99" s="30" t="str">
        <f t="shared" si="3"/>
        <v>OK</v>
      </c>
    </row>
    <row r="100" spans="1:15" x14ac:dyDescent="0.3">
      <c r="A100" s="30" t="s">
        <v>602</v>
      </c>
      <c r="B100" s="30" t="s">
        <v>217</v>
      </c>
      <c r="C100">
        <v>43125</v>
      </c>
      <c r="D100" s="63">
        <v>43125</v>
      </c>
      <c r="E100" s="30" t="s">
        <v>170</v>
      </c>
      <c r="F100" s="30" t="s">
        <v>196</v>
      </c>
      <c r="G100" s="30" t="s">
        <v>13</v>
      </c>
      <c r="H100">
        <v>2018</v>
      </c>
      <c r="I100" s="30" t="s">
        <v>513</v>
      </c>
      <c r="J100" s="30" t="s">
        <v>576</v>
      </c>
      <c r="K100" s="30" t="s">
        <v>215</v>
      </c>
      <c r="L100" s="31">
        <f>_xlfn.XLOOKUP(K100, Projects!$A:$A, Projects!$D:$D)</f>
        <v>45839</v>
      </c>
      <c r="M100" s="31">
        <f>_xlfn.XLOOKUP(K100, Projects!$A:$A, Projects!$F:$F)</f>
        <v>46387</v>
      </c>
      <c r="N100" s="30">
        <f t="shared" si="2"/>
        <v>3</v>
      </c>
      <c r="O100" s="30" t="str">
        <f t="shared" si="3"/>
        <v>Overallocated</v>
      </c>
    </row>
    <row r="101" spans="1:15" x14ac:dyDescent="0.3">
      <c r="A101" s="30" t="s">
        <v>603</v>
      </c>
      <c r="B101" s="30" t="s">
        <v>220</v>
      </c>
      <c r="C101">
        <v>44361</v>
      </c>
      <c r="D101" s="63">
        <v>44361</v>
      </c>
      <c r="E101" s="30" t="s">
        <v>54</v>
      </c>
      <c r="F101" s="30" t="s">
        <v>193</v>
      </c>
      <c r="G101" s="30" t="s">
        <v>13</v>
      </c>
      <c r="H101">
        <v>2021</v>
      </c>
      <c r="I101" s="30" t="s">
        <v>515</v>
      </c>
      <c r="J101" s="30" t="s">
        <v>564</v>
      </c>
      <c r="K101" s="30" t="s">
        <v>132</v>
      </c>
      <c r="L101" s="31">
        <f>_xlfn.XLOOKUP(K101, Projects!$A:$A, Projects!$D:$D)</f>
        <v>45839</v>
      </c>
      <c r="M101" s="31">
        <f>_xlfn.XLOOKUP(K101, Projects!$A:$A, Projects!$F:$F)</f>
        <v>46234</v>
      </c>
      <c r="N101" s="30">
        <f t="shared" si="2"/>
        <v>2</v>
      </c>
      <c r="O101" s="30" t="str">
        <f t="shared" si="3"/>
        <v>OK</v>
      </c>
    </row>
    <row r="102" spans="1:15" x14ac:dyDescent="0.3">
      <c r="A102" s="30" t="s">
        <v>620</v>
      </c>
      <c r="B102" s="30" t="s">
        <v>273</v>
      </c>
      <c r="C102">
        <v>42494</v>
      </c>
      <c r="D102" s="63">
        <v>42494</v>
      </c>
      <c r="E102" s="30" t="s">
        <v>24</v>
      </c>
      <c r="F102" s="30" t="s">
        <v>208</v>
      </c>
      <c r="G102" s="30" t="s">
        <v>13</v>
      </c>
      <c r="H102">
        <v>2016</v>
      </c>
      <c r="I102" s="30" t="s">
        <v>515</v>
      </c>
      <c r="J102" s="30" t="s">
        <v>571</v>
      </c>
      <c r="K102" s="30" t="s">
        <v>275</v>
      </c>
      <c r="L102" s="31">
        <f>_xlfn.XLOOKUP(K102, Projects!$A:$A, Projects!$D:$D)</f>
        <v>45842</v>
      </c>
      <c r="M102" s="31">
        <f>_xlfn.XLOOKUP(K102, Projects!$A:$A, Projects!$F:$F)</f>
        <v>46251</v>
      </c>
      <c r="N102" s="30">
        <f t="shared" si="2"/>
        <v>2</v>
      </c>
      <c r="O102" s="30" t="str">
        <f t="shared" si="3"/>
        <v>OK</v>
      </c>
    </row>
    <row r="103" spans="1:15" x14ac:dyDescent="0.3">
      <c r="A103" s="30" t="s">
        <v>279</v>
      </c>
      <c r="B103" s="30" t="s">
        <v>280</v>
      </c>
      <c r="C103">
        <v>42801</v>
      </c>
      <c r="D103" s="63">
        <v>42801</v>
      </c>
      <c r="E103" s="30" t="s">
        <v>31</v>
      </c>
      <c r="F103" s="30" t="s">
        <v>203</v>
      </c>
      <c r="G103" s="30" t="s">
        <v>55</v>
      </c>
      <c r="H103">
        <v>2017</v>
      </c>
      <c r="I103" s="30" t="s">
        <v>513</v>
      </c>
      <c r="J103" s="30" t="s">
        <v>544</v>
      </c>
      <c r="K103" s="30" t="s">
        <v>275</v>
      </c>
      <c r="L103" s="31">
        <f>_xlfn.XLOOKUP(K103, Projects!$A:$A, Projects!$D:$D)</f>
        <v>45842</v>
      </c>
      <c r="M103" s="31">
        <f>_xlfn.XLOOKUP(K103, Projects!$A:$A, Projects!$F:$F)</f>
        <v>46251</v>
      </c>
      <c r="N103" s="30">
        <f t="shared" si="2"/>
        <v>2</v>
      </c>
      <c r="O103" s="30" t="str">
        <f t="shared" si="3"/>
        <v>OK</v>
      </c>
    </row>
    <row r="104" spans="1:15" x14ac:dyDescent="0.3">
      <c r="A104" s="30" t="s">
        <v>525</v>
      </c>
      <c r="B104" s="30" t="s">
        <v>23</v>
      </c>
      <c r="C104">
        <v>44022</v>
      </c>
      <c r="D104" s="63">
        <v>44022</v>
      </c>
      <c r="E104" s="30" t="s">
        <v>24</v>
      </c>
      <c r="F104" s="30" t="s">
        <v>25</v>
      </c>
      <c r="G104" s="30" t="s">
        <v>13</v>
      </c>
      <c r="H104">
        <v>2020</v>
      </c>
      <c r="I104" s="30" t="s">
        <v>516</v>
      </c>
      <c r="J104" s="30" t="s">
        <v>526</v>
      </c>
      <c r="K104" s="30" t="s">
        <v>27</v>
      </c>
      <c r="L104" s="31">
        <f>_xlfn.XLOOKUP(K104, Projects!$A:$A, Projects!$D:$D)</f>
        <v>45847</v>
      </c>
      <c r="M104" s="31">
        <f>_xlfn.XLOOKUP(K104, Projects!$A:$A, Projects!$F:$F)</f>
        <v>46290</v>
      </c>
      <c r="N104" s="30">
        <f t="shared" si="2"/>
        <v>2</v>
      </c>
      <c r="O104" s="30" t="str">
        <f t="shared" si="3"/>
        <v>OK</v>
      </c>
    </row>
    <row r="105" spans="1:15" x14ac:dyDescent="0.3">
      <c r="A105" s="30" t="s">
        <v>556</v>
      </c>
      <c r="B105" s="30" t="s">
        <v>103</v>
      </c>
      <c r="C105">
        <v>42884</v>
      </c>
      <c r="D105" s="63">
        <v>42884</v>
      </c>
      <c r="E105" s="30" t="s">
        <v>24</v>
      </c>
      <c r="F105" s="30" t="s">
        <v>19</v>
      </c>
      <c r="G105" s="30" t="s">
        <v>13</v>
      </c>
      <c r="H105">
        <v>2017</v>
      </c>
      <c r="I105" s="30" t="s">
        <v>515</v>
      </c>
      <c r="J105" s="30" t="s">
        <v>534</v>
      </c>
      <c r="K105" s="30" t="s">
        <v>104</v>
      </c>
      <c r="L105" s="31">
        <f>_xlfn.XLOOKUP(K105, Projects!$A:$A, Projects!$D:$D)</f>
        <v>45847</v>
      </c>
      <c r="M105" s="31">
        <f>_xlfn.XLOOKUP(K105, Projects!$A:$A, Projects!$F:$F)</f>
        <v>46249</v>
      </c>
      <c r="N105" s="30">
        <f t="shared" si="2"/>
        <v>2</v>
      </c>
      <c r="O105" s="30" t="str">
        <f t="shared" si="3"/>
        <v>OK</v>
      </c>
    </row>
    <row r="106" spans="1:15" x14ac:dyDescent="0.3">
      <c r="A106" s="30" t="s">
        <v>577</v>
      </c>
      <c r="B106" s="30" t="s">
        <v>148</v>
      </c>
      <c r="C106">
        <v>43717</v>
      </c>
      <c r="D106" s="63">
        <v>43717</v>
      </c>
      <c r="E106" s="30" t="s">
        <v>31</v>
      </c>
      <c r="F106" s="30" t="s">
        <v>25</v>
      </c>
      <c r="G106" s="30" t="s">
        <v>13</v>
      </c>
      <c r="H106">
        <v>2019</v>
      </c>
      <c r="I106" s="30" t="s">
        <v>516</v>
      </c>
      <c r="J106" s="30" t="s">
        <v>540</v>
      </c>
      <c r="K106" s="30" t="s">
        <v>27</v>
      </c>
      <c r="L106" s="31">
        <f>_xlfn.XLOOKUP(K106, Projects!$A:$A, Projects!$D:$D)</f>
        <v>45847</v>
      </c>
      <c r="M106" s="31">
        <f>_xlfn.XLOOKUP(K106, Projects!$A:$A, Projects!$F:$F)</f>
        <v>46290</v>
      </c>
      <c r="N106" s="30">
        <f t="shared" si="2"/>
        <v>2</v>
      </c>
      <c r="O106" s="30" t="str">
        <f t="shared" si="3"/>
        <v>OK</v>
      </c>
    </row>
    <row r="107" spans="1:15" x14ac:dyDescent="0.3">
      <c r="A107" s="30" t="s">
        <v>584</v>
      </c>
      <c r="B107" s="30" t="s">
        <v>166</v>
      </c>
      <c r="C107" t="s">
        <v>167</v>
      </c>
      <c r="D107" s="63">
        <v>45637</v>
      </c>
      <c r="E107" s="30" t="s">
        <v>31</v>
      </c>
      <c r="F107" s="30" t="s">
        <v>19</v>
      </c>
      <c r="G107" s="30" t="s">
        <v>13</v>
      </c>
      <c r="H107">
        <v>2024</v>
      </c>
      <c r="I107" s="30" t="s">
        <v>514</v>
      </c>
      <c r="J107" s="30" t="s">
        <v>585</v>
      </c>
      <c r="K107" s="30" t="s">
        <v>104</v>
      </c>
      <c r="L107" s="31">
        <f>_xlfn.XLOOKUP(K107, Projects!$A:$A, Projects!$D:$D)</f>
        <v>45847</v>
      </c>
      <c r="M107" s="31">
        <f>_xlfn.XLOOKUP(K107, Projects!$A:$A, Projects!$F:$F)</f>
        <v>46249</v>
      </c>
      <c r="N107" s="30">
        <f t="shared" si="2"/>
        <v>1</v>
      </c>
      <c r="O107" s="30" t="str">
        <f t="shared" si="3"/>
        <v>OK</v>
      </c>
    </row>
    <row r="108" spans="1:15" x14ac:dyDescent="0.3">
      <c r="A108" s="30" t="s">
        <v>596</v>
      </c>
      <c r="B108" s="30" t="s">
        <v>188</v>
      </c>
      <c r="C108">
        <v>43536</v>
      </c>
      <c r="D108" s="63">
        <v>43536</v>
      </c>
      <c r="E108" s="30" t="s">
        <v>31</v>
      </c>
      <c r="F108" s="30" t="s">
        <v>189</v>
      </c>
      <c r="G108" s="30" t="s">
        <v>13</v>
      </c>
      <c r="H108">
        <v>2019</v>
      </c>
      <c r="I108" s="30" t="s">
        <v>513</v>
      </c>
      <c r="J108" s="30" t="s">
        <v>528</v>
      </c>
      <c r="K108" s="30" t="s">
        <v>104</v>
      </c>
      <c r="L108" s="31">
        <f>_xlfn.XLOOKUP(K108, Projects!$A:$A, Projects!$D:$D)</f>
        <v>45847</v>
      </c>
      <c r="M108" s="31">
        <f>_xlfn.XLOOKUP(K108, Projects!$A:$A, Projects!$F:$F)</f>
        <v>46249</v>
      </c>
      <c r="N108" s="30">
        <f t="shared" si="2"/>
        <v>2</v>
      </c>
      <c r="O108" s="30" t="str">
        <f t="shared" si="3"/>
        <v>OK</v>
      </c>
    </row>
    <row r="109" spans="1:15" x14ac:dyDescent="0.3">
      <c r="A109" s="30" t="s">
        <v>206</v>
      </c>
      <c r="B109" s="30" t="s">
        <v>207</v>
      </c>
      <c r="C109">
        <v>42420</v>
      </c>
      <c r="D109" s="63">
        <v>42420</v>
      </c>
      <c r="E109" s="30" t="s">
        <v>31</v>
      </c>
      <c r="F109" s="30" t="s">
        <v>208</v>
      </c>
      <c r="G109" s="30" t="s">
        <v>13</v>
      </c>
      <c r="H109">
        <v>2016</v>
      </c>
      <c r="I109" s="30" t="s">
        <v>513</v>
      </c>
      <c r="J109" s="30" t="s">
        <v>560</v>
      </c>
      <c r="K109" s="30" t="s">
        <v>27</v>
      </c>
      <c r="L109" s="31">
        <f>_xlfn.XLOOKUP(K109, Projects!$A:$A, Projects!$D:$D)</f>
        <v>45847</v>
      </c>
      <c r="M109" s="31">
        <f>_xlfn.XLOOKUP(K109, Projects!$A:$A, Projects!$F:$F)</f>
        <v>46290</v>
      </c>
      <c r="N109" s="30">
        <f t="shared" si="2"/>
        <v>2</v>
      </c>
      <c r="O109" s="30" t="str">
        <f t="shared" si="3"/>
        <v>OK</v>
      </c>
    </row>
    <row r="110" spans="1:15" x14ac:dyDescent="0.3">
      <c r="A110" s="30" t="s">
        <v>567</v>
      </c>
      <c r="B110" s="30" t="s">
        <v>125</v>
      </c>
      <c r="C110">
        <v>44900</v>
      </c>
      <c r="D110" s="63">
        <v>44900</v>
      </c>
      <c r="E110" s="30" t="s">
        <v>54</v>
      </c>
      <c r="F110" s="30" t="s">
        <v>12</v>
      </c>
      <c r="G110" s="30" t="s">
        <v>55</v>
      </c>
      <c r="H110">
        <v>2022</v>
      </c>
      <c r="I110" s="30" t="s">
        <v>514</v>
      </c>
      <c r="J110" s="30" t="s">
        <v>568</v>
      </c>
      <c r="K110" s="30" t="s">
        <v>126</v>
      </c>
      <c r="L110" s="31">
        <f>_xlfn.XLOOKUP(K110, Projects!$A:$A, Projects!$D:$D)</f>
        <v>45859</v>
      </c>
      <c r="M110" s="31">
        <f>_xlfn.XLOOKUP(K110, Projects!$A:$A, Projects!$F:$F)</f>
        <v>46316</v>
      </c>
      <c r="N110" s="30">
        <f t="shared" si="2"/>
        <v>1</v>
      </c>
      <c r="O110" s="30" t="str">
        <f t="shared" si="3"/>
        <v>OK</v>
      </c>
    </row>
    <row r="111" spans="1:15" x14ac:dyDescent="0.3">
      <c r="A111" s="30" t="s">
        <v>592</v>
      </c>
      <c r="B111" s="30" t="s">
        <v>183</v>
      </c>
      <c r="C111">
        <v>42049</v>
      </c>
      <c r="D111" s="63">
        <v>42049</v>
      </c>
      <c r="E111" s="30" t="s">
        <v>42</v>
      </c>
      <c r="F111" s="30" t="s">
        <v>25</v>
      </c>
      <c r="G111" s="30" t="s">
        <v>114</v>
      </c>
      <c r="H111">
        <v>2015</v>
      </c>
      <c r="I111" s="30" t="s">
        <v>513</v>
      </c>
      <c r="J111" s="30" t="s">
        <v>593</v>
      </c>
      <c r="K111" s="30" t="s">
        <v>126</v>
      </c>
      <c r="L111" s="31">
        <f>_xlfn.XLOOKUP(K111, Projects!$A:$A, Projects!$D:$D)</f>
        <v>45859</v>
      </c>
      <c r="M111" s="31">
        <f>_xlfn.XLOOKUP(K111, Projects!$A:$A, Projects!$F:$F)</f>
        <v>46316</v>
      </c>
      <c r="N111" s="30">
        <f t="shared" si="2"/>
        <v>2</v>
      </c>
      <c r="O111" s="30" t="str">
        <f t="shared" si="3"/>
        <v>OK</v>
      </c>
    </row>
    <row r="112" spans="1:15" x14ac:dyDescent="0.3">
      <c r="A112" s="30" t="s">
        <v>597</v>
      </c>
      <c r="B112" s="30" t="s">
        <v>195</v>
      </c>
      <c r="C112">
        <v>43282</v>
      </c>
      <c r="D112" s="63">
        <v>43282</v>
      </c>
      <c r="E112" s="30" t="s">
        <v>36</v>
      </c>
      <c r="F112" s="30" t="s">
        <v>196</v>
      </c>
      <c r="G112" s="30" t="s">
        <v>13</v>
      </c>
      <c r="H112">
        <v>2018</v>
      </c>
      <c r="I112" s="30" t="s">
        <v>516</v>
      </c>
      <c r="J112" s="30" t="s">
        <v>566</v>
      </c>
      <c r="K112" s="30" t="s">
        <v>197</v>
      </c>
      <c r="L112" s="31">
        <f>_xlfn.XLOOKUP(K112, Projects!$A:$A, Projects!$D:$D)</f>
        <v>45861</v>
      </c>
      <c r="M112" s="31">
        <f>_xlfn.XLOOKUP(K112, Projects!$A:$A, Projects!$F:$F)</f>
        <v>46048</v>
      </c>
      <c r="N112" s="30">
        <f t="shared" si="2"/>
        <v>2</v>
      </c>
      <c r="O112" s="30" t="str">
        <f t="shared" si="3"/>
        <v>OK</v>
      </c>
    </row>
    <row r="113" spans="1:15" x14ac:dyDescent="0.3">
      <c r="A113" s="30" t="s">
        <v>609</v>
      </c>
      <c r="B113" s="30" t="s">
        <v>238</v>
      </c>
      <c r="C113">
        <v>43860</v>
      </c>
      <c r="D113" s="63">
        <v>43860</v>
      </c>
      <c r="E113" s="30" t="s">
        <v>170</v>
      </c>
      <c r="F113" s="30" t="s">
        <v>203</v>
      </c>
      <c r="G113" s="30" t="s">
        <v>13</v>
      </c>
      <c r="H113">
        <v>2020</v>
      </c>
      <c r="I113" s="30" t="s">
        <v>513</v>
      </c>
      <c r="J113" s="30" t="s">
        <v>546</v>
      </c>
      <c r="K113" s="30" t="s">
        <v>197</v>
      </c>
      <c r="L113" s="31">
        <f>_xlfn.XLOOKUP(K113, Projects!$A:$A, Projects!$D:$D)</f>
        <v>45861</v>
      </c>
      <c r="M113" s="31">
        <f>_xlfn.XLOOKUP(K113, Projects!$A:$A, Projects!$F:$F)</f>
        <v>46048</v>
      </c>
      <c r="N113" s="30">
        <f t="shared" si="2"/>
        <v>2</v>
      </c>
      <c r="O113" s="30" t="str">
        <f t="shared" si="3"/>
        <v>OK</v>
      </c>
    </row>
    <row r="114" spans="1:15" x14ac:dyDescent="0.3">
      <c r="A114" s="30" t="s">
        <v>631</v>
      </c>
      <c r="B114" s="30" t="s">
        <v>310</v>
      </c>
      <c r="C114">
        <v>43510</v>
      </c>
      <c r="D114" s="63">
        <v>43510</v>
      </c>
      <c r="E114" s="30" t="s">
        <v>31</v>
      </c>
      <c r="F114" s="30" t="s">
        <v>203</v>
      </c>
      <c r="G114" s="30" t="s">
        <v>13</v>
      </c>
      <c r="H114">
        <v>2019</v>
      </c>
      <c r="I114" s="30" t="s">
        <v>513</v>
      </c>
      <c r="J114" s="30" t="s">
        <v>528</v>
      </c>
      <c r="K114" s="30" t="s">
        <v>197</v>
      </c>
      <c r="L114" s="31">
        <f>_xlfn.XLOOKUP(K114, Projects!$A:$A, Projects!$D:$D)</f>
        <v>45861</v>
      </c>
      <c r="M114" s="31">
        <f>_xlfn.XLOOKUP(K114, Projects!$A:$A, Projects!$F:$F)</f>
        <v>46048</v>
      </c>
      <c r="N114" s="30">
        <f t="shared" si="2"/>
        <v>2</v>
      </c>
      <c r="O114" s="30" t="str">
        <f t="shared" si="3"/>
        <v>OK</v>
      </c>
    </row>
    <row r="115" spans="1:15" x14ac:dyDescent="0.3">
      <c r="A115" s="30" t="s">
        <v>535</v>
      </c>
      <c r="B115" s="30" t="s">
        <v>48</v>
      </c>
      <c r="C115" t="s">
        <v>49</v>
      </c>
      <c r="D115" s="63">
        <v>44020</v>
      </c>
      <c r="E115" s="30" t="s">
        <v>31</v>
      </c>
      <c r="F115" s="30" t="s">
        <v>12</v>
      </c>
      <c r="G115" s="30" t="s">
        <v>13</v>
      </c>
      <c r="H115">
        <v>2020</v>
      </c>
      <c r="I115" s="30" t="s">
        <v>516</v>
      </c>
      <c r="J115" s="30" t="s">
        <v>526</v>
      </c>
      <c r="K115" s="30" t="s">
        <v>50</v>
      </c>
      <c r="L115" s="31">
        <f>_xlfn.XLOOKUP(K115, Projects!$A:$A, Projects!$D:$D)</f>
        <v>45880</v>
      </c>
      <c r="M115" s="31">
        <f>_xlfn.XLOOKUP(K115, Projects!$A:$A, Projects!$F:$F)</f>
        <v>46290</v>
      </c>
      <c r="N115" s="30">
        <f t="shared" si="2"/>
        <v>2</v>
      </c>
      <c r="O115" s="30" t="str">
        <f t="shared" si="3"/>
        <v>OK</v>
      </c>
    </row>
    <row r="116" spans="1:15" x14ac:dyDescent="0.3">
      <c r="A116" s="30" t="s">
        <v>548</v>
      </c>
      <c r="B116" s="30" t="s">
        <v>83</v>
      </c>
      <c r="C116">
        <v>44423</v>
      </c>
      <c r="D116" s="63">
        <v>44423</v>
      </c>
      <c r="E116" s="30" t="s">
        <v>31</v>
      </c>
      <c r="F116" s="30" t="s">
        <v>19</v>
      </c>
      <c r="G116" s="30" t="s">
        <v>13</v>
      </c>
      <c r="H116">
        <v>2021</v>
      </c>
      <c r="I116" s="30" t="s">
        <v>516</v>
      </c>
      <c r="J116" s="30" t="s">
        <v>549</v>
      </c>
      <c r="K116" s="30" t="s">
        <v>84</v>
      </c>
      <c r="L116" s="31">
        <f>_xlfn.XLOOKUP(K116, Projects!$A:$A, Projects!$D:$D)</f>
        <v>45880</v>
      </c>
      <c r="M116" s="31">
        <f>_xlfn.XLOOKUP(K116, Projects!$A:$A, Projects!$F:$F)</f>
        <v>46038</v>
      </c>
      <c r="N116" s="30">
        <f t="shared" si="2"/>
        <v>2</v>
      </c>
      <c r="O116" s="30" t="str">
        <f t="shared" si="3"/>
        <v>OK</v>
      </c>
    </row>
    <row r="117" spans="1:15" x14ac:dyDescent="0.3">
      <c r="A117" s="30" t="s">
        <v>112</v>
      </c>
      <c r="B117" s="30" t="s">
        <v>113</v>
      </c>
      <c r="C117">
        <v>42439</v>
      </c>
      <c r="D117" s="63">
        <v>42439</v>
      </c>
      <c r="E117" s="30" t="s">
        <v>36</v>
      </c>
      <c r="F117" s="30" t="s">
        <v>19</v>
      </c>
      <c r="G117" s="30" t="s">
        <v>114</v>
      </c>
      <c r="H117">
        <v>2016</v>
      </c>
      <c r="I117" s="30" t="s">
        <v>513</v>
      </c>
      <c r="J117" s="30" t="s">
        <v>560</v>
      </c>
      <c r="K117" s="30" t="s">
        <v>50</v>
      </c>
      <c r="L117" s="31">
        <f>_xlfn.XLOOKUP(K117, Projects!$A:$A, Projects!$D:$D)</f>
        <v>45880</v>
      </c>
      <c r="M117" s="31">
        <f>_xlfn.XLOOKUP(K117, Projects!$A:$A, Projects!$F:$F)</f>
        <v>46290</v>
      </c>
      <c r="N117" s="30">
        <f t="shared" si="2"/>
        <v>1</v>
      </c>
      <c r="O117" s="30" t="str">
        <f t="shared" si="3"/>
        <v>OK</v>
      </c>
    </row>
    <row r="118" spans="1:15" x14ac:dyDescent="0.3">
      <c r="A118" s="30" t="s">
        <v>597</v>
      </c>
      <c r="B118" s="30" t="s">
        <v>195</v>
      </c>
      <c r="C118">
        <v>43282</v>
      </c>
      <c r="D118" s="63">
        <v>43282</v>
      </c>
      <c r="E118" s="30" t="s">
        <v>36</v>
      </c>
      <c r="F118" s="30" t="s">
        <v>196</v>
      </c>
      <c r="G118" s="30" t="s">
        <v>13</v>
      </c>
      <c r="H118">
        <v>2018</v>
      </c>
      <c r="I118" s="30" t="s">
        <v>516</v>
      </c>
      <c r="J118" s="30" t="s">
        <v>566</v>
      </c>
      <c r="K118" s="30" t="s">
        <v>50</v>
      </c>
      <c r="L118" s="31">
        <f>_xlfn.XLOOKUP(K118, Projects!$A:$A, Projects!$D:$D)</f>
        <v>45880</v>
      </c>
      <c r="M118" s="31">
        <f>_xlfn.XLOOKUP(K118, Projects!$A:$A, Projects!$F:$F)</f>
        <v>46290</v>
      </c>
      <c r="N118" s="30">
        <f t="shared" si="2"/>
        <v>2</v>
      </c>
      <c r="O118" s="30" t="str">
        <f t="shared" si="3"/>
        <v>OK</v>
      </c>
    </row>
    <row r="119" spans="1:15" x14ac:dyDescent="0.3">
      <c r="A119" s="30" t="s">
        <v>601</v>
      </c>
      <c r="B119" s="30" t="s">
        <v>214</v>
      </c>
      <c r="C119">
        <v>44060</v>
      </c>
      <c r="D119" s="63">
        <v>44060</v>
      </c>
      <c r="E119" s="30" t="s">
        <v>31</v>
      </c>
      <c r="F119" s="30" t="s">
        <v>189</v>
      </c>
      <c r="G119" s="30" t="s">
        <v>13</v>
      </c>
      <c r="H119">
        <v>2020</v>
      </c>
      <c r="I119" s="30" t="s">
        <v>516</v>
      </c>
      <c r="J119" s="30" t="s">
        <v>526</v>
      </c>
      <c r="K119" s="30" t="s">
        <v>84</v>
      </c>
      <c r="L119" s="31">
        <f>_xlfn.XLOOKUP(K119, Projects!$A:$A, Projects!$D:$D)</f>
        <v>45880</v>
      </c>
      <c r="M119" s="31">
        <f>_xlfn.XLOOKUP(K119, Projects!$A:$A, Projects!$F:$F)</f>
        <v>46038</v>
      </c>
      <c r="N119" s="30">
        <f t="shared" si="2"/>
        <v>2</v>
      </c>
      <c r="O119" s="30" t="str">
        <f t="shared" si="3"/>
        <v>OK</v>
      </c>
    </row>
    <row r="120" spans="1:15" x14ac:dyDescent="0.3">
      <c r="A120" s="30" t="s">
        <v>611</v>
      </c>
      <c r="B120" s="30" t="s">
        <v>245</v>
      </c>
      <c r="C120">
        <v>42943</v>
      </c>
      <c r="D120" s="63">
        <v>42943</v>
      </c>
      <c r="E120" s="30" t="s">
        <v>31</v>
      </c>
      <c r="F120" s="30" t="s">
        <v>193</v>
      </c>
      <c r="G120" s="30" t="s">
        <v>13</v>
      </c>
      <c r="H120">
        <v>2017</v>
      </c>
      <c r="I120" s="30" t="s">
        <v>516</v>
      </c>
      <c r="J120" s="30" t="s">
        <v>604</v>
      </c>
      <c r="K120" s="30" t="s">
        <v>84</v>
      </c>
      <c r="L120" s="31">
        <f>_xlfn.XLOOKUP(K120, Projects!$A:$A, Projects!$D:$D)</f>
        <v>45880</v>
      </c>
      <c r="M120" s="31">
        <f>_xlfn.XLOOKUP(K120, Projects!$A:$A, Projects!$F:$F)</f>
        <v>46038</v>
      </c>
      <c r="N120" s="30">
        <f t="shared" si="2"/>
        <v>2</v>
      </c>
      <c r="O120" s="30" t="str">
        <f t="shared" si="3"/>
        <v>OK</v>
      </c>
    </row>
    <row r="121" spans="1:15" x14ac:dyDescent="0.3">
      <c r="A121" s="30" t="s">
        <v>623</v>
      </c>
      <c r="B121" s="30" t="s">
        <v>286</v>
      </c>
      <c r="C121" t="s">
        <v>287</v>
      </c>
      <c r="D121" s="63">
        <v>44076</v>
      </c>
      <c r="E121" s="30" t="s">
        <v>54</v>
      </c>
      <c r="F121" s="30" t="s">
        <v>193</v>
      </c>
      <c r="G121" s="30" t="s">
        <v>55</v>
      </c>
      <c r="H121">
        <v>2020</v>
      </c>
      <c r="I121" s="30" t="s">
        <v>516</v>
      </c>
      <c r="J121" s="30" t="s">
        <v>526</v>
      </c>
      <c r="K121" s="30" t="s">
        <v>84</v>
      </c>
      <c r="L121" s="31">
        <f>_xlfn.XLOOKUP(K121, Projects!$A:$A, Projects!$D:$D)</f>
        <v>45880</v>
      </c>
      <c r="M121" s="31">
        <f>_xlfn.XLOOKUP(K121, Projects!$A:$A, Projects!$F:$F)</f>
        <v>46038</v>
      </c>
      <c r="N121" s="30">
        <f t="shared" si="2"/>
        <v>1</v>
      </c>
      <c r="O121" s="30" t="str">
        <f t="shared" si="3"/>
        <v>OK</v>
      </c>
    </row>
    <row r="122" spans="1:15" x14ac:dyDescent="0.3">
      <c r="A122" s="30" t="s">
        <v>529</v>
      </c>
      <c r="B122" s="30" t="s">
        <v>35</v>
      </c>
      <c r="C122">
        <v>45017</v>
      </c>
      <c r="D122" s="63">
        <v>45017</v>
      </c>
      <c r="E122" s="30" t="s">
        <v>36</v>
      </c>
      <c r="F122" s="30" t="s">
        <v>12</v>
      </c>
      <c r="G122" s="30" t="s">
        <v>13</v>
      </c>
      <c r="H122">
        <v>2023</v>
      </c>
      <c r="I122" s="30" t="s">
        <v>515</v>
      </c>
      <c r="J122" s="30" t="s">
        <v>530</v>
      </c>
      <c r="K122" s="30" t="s">
        <v>37</v>
      </c>
      <c r="L122" s="31">
        <f>_xlfn.XLOOKUP(K122, Projects!$A:$A, Projects!$D:$D)</f>
        <v>45887</v>
      </c>
      <c r="M122" s="31">
        <f>_xlfn.XLOOKUP(K122, Projects!$A:$A, Projects!$F:$F)</f>
        <v>46251</v>
      </c>
      <c r="N122" s="30">
        <f t="shared" si="2"/>
        <v>3</v>
      </c>
      <c r="O122" s="30" t="str">
        <f t="shared" si="3"/>
        <v>Overallocated</v>
      </c>
    </row>
    <row r="123" spans="1:15" x14ac:dyDescent="0.3">
      <c r="A123" s="30" t="s">
        <v>533</v>
      </c>
      <c r="B123" s="30" t="s">
        <v>45</v>
      </c>
      <c r="C123">
        <v>42898</v>
      </c>
      <c r="D123" s="63">
        <v>42898</v>
      </c>
      <c r="E123" s="30" t="s">
        <v>31</v>
      </c>
      <c r="F123" s="30" t="s">
        <v>19</v>
      </c>
      <c r="G123" s="30" t="s">
        <v>13</v>
      </c>
      <c r="H123">
        <v>2017</v>
      </c>
      <c r="I123" s="30" t="s">
        <v>515</v>
      </c>
      <c r="J123" s="30" t="s">
        <v>534</v>
      </c>
      <c r="K123" s="30" t="s">
        <v>46</v>
      </c>
      <c r="L123" s="31">
        <f>_xlfn.XLOOKUP(K123, Projects!$A:$A, Projects!$D:$D)</f>
        <v>45887</v>
      </c>
      <c r="M123" s="31">
        <f>_xlfn.XLOOKUP(K123, Projects!$A:$A, Projects!$F:$F)</f>
        <v>46297</v>
      </c>
      <c r="N123" s="30">
        <f t="shared" si="2"/>
        <v>1</v>
      </c>
      <c r="O123" s="30" t="str">
        <f t="shared" si="3"/>
        <v>OK</v>
      </c>
    </row>
    <row r="124" spans="1:15" x14ac:dyDescent="0.3">
      <c r="A124" s="30" t="s">
        <v>557</v>
      </c>
      <c r="B124" s="30" t="s">
        <v>107</v>
      </c>
      <c r="C124">
        <v>44805</v>
      </c>
      <c r="D124" s="63">
        <v>44805</v>
      </c>
      <c r="E124" s="30" t="s">
        <v>54</v>
      </c>
      <c r="F124" s="30" t="s">
        <v>12</v>
      </c>
      <c r="G124" s="30" t="s">
        <v>13</v>
      </c>
      <c r="H124">
        <v>2022</v>
      </c>
      <c r="I124" s="30" t="s">
        <v>516</v>
      </c>
      <c r="J124" s="30" t="s">
        <v>558</v>
      </c>
      <c r="K124" s="30" t="s">
        <v>46</v>
      </c>
      <c r="L124" s="31">
        <f>_xlfn.XLOOKUP(K124, Projects!$A:$A, Projects!$D:$D)</f>
        <v>45887</v>
      </c>
      <c r="M124" s="31">
        <f>_xlfn.XLOOKUP(K124, Projects!$A:$A, Projects!$F:$F)</f>
        <v>46297</v>
      </c>
      <c r="N124" s="30">
        <f t="shared" si="2"/>
        <v>2</v>
      </c>
      <c r="O124" s="30" t="str">
        <f t="shared" si="3"/>
        <v>OK</v>
      </c>
    </row>
    <row r="125" spans="1:15" x14ac:dyDescent="0.3">
      <c r="A125" s="30" t="s">
        <v>565</v>
      </c>
      <c r="B125" s="30" t="s">
        <v>122</v>
      </c>
      <c r="C125">
        <v>43333</v>
      </c>
      <c r="D125" s="63">
        <v>43333</v>
      </c>
      <c r="E125" s="30" t="s">
        <v>24</v>
      </c>
      <c r="F125" s="30" t="s">
        <v>19</v>
      </c>
      <c r="G125" s="30" t="s">
        <v>13</v>
      </c>
      <c r="H125">
        <v>2018</v>
      </c>
      <c r="I125" s="30" t="s">
        <v>516</v>
      </c>
      <c r="J125" s="30" t="s">
        <v>566</v>
      </c>
      <c r="K125" s="30" t="s">
        <v>123</v>
      </c>
      <c r="L125" s="31">
        <f>_xlfn.XLOOKUP(K125, Projects!$A:$A, Projects!$D:$D)</f>
        <v>45887</v>
      </c>
      <c r="M125" s="31">
        <f>_xlfn.XLOOKUP(K125, Projects!$A:$A, Projects!$F:$F)</f>
        <v>46297</v>
      </c>
      <c r="N125" s="30">
        <f t="shared" si="2"/>
        <v>2</v>
      </c>
      <c r="O125" s="30" t="str">
        <f t="shared" si="3"/>
        <v>OK</v>
      </c>
    </row>
    <row r="126" spans="1:15" x14ac:dyDescent="0.3">
      <c r="A126" s="30" t="s">
        <v>570</v>
      </c>
      <c r="B126" s="30" t="s">
        <v>134</v>
      </c>
      <c r="C126" t="s">
        <v>135</v>
      </c>
      <c r="D126" s="63">
        <v>42530</v>
      </c>
      <c r="E126" s="30" t="s">
        <v>31</v>
      </c>
      <c r="F126" s="30" t="s">
        <v>12</v>
      </c>
      <c r="G126" s="30" t="s">
        <v>114</v>
      </c>
      <c r="H126">
        <v>2016</v>
      </c>
      <c r="I126" s="30" t="s">
        <v>515</v>
      </c>
      <c r="J126" s="30" t="s">
        <v>571</v>
      </c>
      <c r="K126" s="30" t="s">
        <v>37</v>
      </c>
      <c r="L126" s="31">
        <f>_xlfn.XLOOKUP(K126, Projects!$A:$A, Projects!$D:$D)</f>
        <v>45887</v>
      </c>
      <c r="M126" s="31">
        <f>_xlfn.XLOOKUP(K126, Projects!$A:$A, Projects!$F:$F)</f>
        <v>46251</v>
      </c>
      <c r="N126" s="30">
        <f t="shared" si="2"/>
        <v>1</v>
      </c>
      <c r="O126" s="30" t="str">
        <f t="shared" si="3"/>
        <v>OK</v>
      </c>
    </row>
    <row r="127" spans="1:15" x14ac:dyDescent="0.3">
      <c r="A127" s="30" t="s">
        <v>594</v>
      </c>
      <c r="B127" s="30" t="s">
        <v>185</v>
      </c>
      <c r="C127" t="s">
        <v>186</v>
      </c>
      <c r="D127" s="63">
        <v>44935</v>
      </c>
      <c r="E127" s="30" t="s">
        <v>54</v>
      </c>
      <c r="F127" s="30" t="s">
        <v>19</v>
      </c>
      <c r="G127" s="30" t="s">
        <v>55</v>
      </c>
      <c r="H127">
        <v>2023</v>
      </c>
      <c r="I127" s="30" t="s">
        <v>513</v>
      </c>
      <c r="J127" s="30" t="s">
        <v>595</v>
      </c>
      <c r="K127" s="30" t="s">
        <v>123</v>
      </c>
      <c r="L127" s="31">
        <f>_xlfn.XLOOKUP(K127, Projects!$A:$A, Projects!$D:$D)</f>
        <v>45887</v>
      </c>
      <c r="M127" s="31">
        <f>_xlfn.XLOOKUP(K127, Projects!$A:$A, Projects!$F:$F)</f>
        <v>46297</v>
      </c>
      <c r="N127" s="30">
        <f t="shared" si="2"/>
        <v>1</v>
      </c>
      <c r="O127" s="30" t="str">
        <f t="shared" si="3"/>
        <v>OK</v>
      </c>
    </row>
    <row r="128" spans="1:15" x14ac:dyDescent="0.3">
      <c r="A128" s="30" t="s">
        <v>620</v>
      </c>
      <c r="B128" s="30" t="s">
        <v>273</v>
      </c>
      <c r="C128">
        <v>42494</v>
      </c>
      <c r="D128" s="63">
        <v>42494</v>
      </c>
      <c r="E128" s="30" t="s">
        <v>24</v>
      </c>
      <c r="F128" s="30" t="s">
        <v>208</v>
      </c>
      <c r="G128" s="30" t="s">
        <v>13</v>
      </c>
      <c r="H128">
        <v>2016</v>
      </c>
      <c r="I128" s="30" t="s">
        <v>515</v>
      </c>
      <c r="J128" s="30" t="s">
        <v>571</v>
      </c>
      <c r="K128" s="30" t="s">
        <v>274</v>
      </c>
      <c r="L128" s="31">
        <f>_xlfn.XLOOKUP(K128, Projects!$A:$A, Projects!$D:$D)</f>
        <v>45887</v>
      </c>
      <c r="M128" s="31">
        <f>_xlfn.XLOOKUP(K128, Projects!$A:$A, Projects!$F:$F)</f>
        <v>46332</v>
      </c>
      <c r="N128" s="30">
        <f t="shared" si="2"/>
        <v>2</v>
      </c>
      <c r="O128" s="30" t="str">
        <f t="shared" si="3"/>
        <v>OK</v>
      </c>
    </row>
    <row r="129" spans="1:15" x14ac:dyDescent="0.3">
      <c r="A129" s="30" t="s">
        <v>627</v>
      </c>
      <c r="B129" s="30" t="s">
        <v>296</v>
      </c>
      <c r="C129">
        <v>43616</v>
      </c>
      <c r="D129" s="63">
        <v>43616</v>
      </c>
      <c r="E129" s="30" t="s">
        <v>31</v>
      </c>
      <c r="F129" s="30" t="s">
        <v>193</v>
      </c>
      <c r="G129" s="30" t="s">
        <v>13</v>
      </c>
      <c r="H129">
        <v>2019</v>
      </c>
      <c r="I129" s="30" t="s">
        <v>515</v>
      </c>
      <c r="J129" s="30" t="s">
        <v>591</v>
      </c>
      <c r="K129" s="30" t="s">
        <v>123</v>
      </c>
      <c r="L129" s="31">
        <f>_xlfn.XLOOKUP(K129, Projects!$A:$A, Projects!$D:$D)</f>
        <v>45887</v>
      </c>
      <c r="M129" s="31">
        <f>_xlfn.XLOOKUP(K129, Projects!$A:$A, Projects!$F:$F)</f>
        <v>46297</v>
      </c>
      <c r="N129" s="30">
        <f t="shared" si="2"/>
        <v>2</v>
      </c>
      <c r="O129" s="30" t="str">
        <f t="shared" si="3"/>
        <v>OK</v>
      </c>
    </row>
    <row r="130" spans="1:15" x14ac:dyDescent="0.3">
      <c r="A130" s="30" t="s">
        <v>306</v>
      </c>
      <c r="B130" s="30" t="s">
        <v>307</v>
      </c>
      <c r="C130" t="s">
        <v>308</v>
      </c>
      <c r="D130" s="63">
        <v>42461</v>
      </c>
      <c r="E130" s="30" t="s">
        <v>31</v>
      </c>
      <c r="F130" s="30" t="s">
        <v>189</v>
      </c>
      <c r="G130" s="30" t="s">
        <v>55</v>
      </c>
      <c r="H130">
        <v>2016</v>
      </c>
      <c r="I130" s="30" t="s">
        <v>515</v>
      </c>
      <c r="J130" s="30" t="s">
        <v>571</v>
      </c>
      <c r="K130" s="30" t="s">
        <v>37</v>
      </c>
      <c r="L130" s="31">
        <f>_xlfn.XLOOKUP(K130, Projects!$A:$A, Projects!$D:$D)</f>
        <v>45887</v>
      </c>
      <c r="M130" s="31">
        <f>_xlfn.XLOOKUP(K130, Projects!$A:$A, Projects!$F:$F)</f>
        <v>46251</v>
      </c>
      <c r="N130" s="30">
        <f t="shared" ref="N130:N193" si="4">COUNTIFS(A:A,A130, L:L,"&lt;="&amp;M130, M:M,"&gt;="&amp;L130)</f>
        <v>1</v>
      </c>
      <c r="O130" s="30" t="str">
        <f t="shared" ref="O130:O193" si="5">IF(N130&gt;2,"Overallocated","OK")</f>
        <v>OK</v>
      </c>
    </row>
    <row r="131" spans="1:15" x14ac:dyDescent="0.3">
      <c r="A131" s="30" t="s">
        <v>634</v>
      </c>
      <c r="B131" s="30" t="s">
        <v>317</v>
      </c>
      <c r="C131">
        <v>43269</v>
      </c>
      <c r="D131" s="63">
        <v>43269</v>
      </c>
      <c r="E131" s="30" t="s">
        <v>24</v>
      </c>
      <c r="F131" s="30" t="s">
        <v>189</v>
      </c>
      <c r="G131" s="30" t="s">
        <v>13</v>
      </c>
      <c r="H131">
        <v>2018</v>
      </c>
      <c r="I131" s="30" t="s">
        <v>515</v>
      </c>
      <c r="J131" s="30" t="s">
        <v>555</v>
      </c>
      <c r="K131" s="30" t="s">
        <v>318</v>
      </c>
      <c r="L131" s="31">
        <f>_xlfn.XLOOKUP(K131, Projects!$A:$A, Projects!$D:$D)</f>
        <v>45894</v>
      </c>
      <c r="M131" s="31">
        <f>_xlfn.XLOOKUP(K131, Projects!$A:$A, Projects!$F:$F)</f>
        <v>46294</v>
      </c>
      <c r="N131" s="30">
        <f t="shared" si="4"/>
        <v>2</v>
      </c>
      <c r="O131" s="30" t="str">
        <f t="shared" si="5"/>
        <v>OK</v>
      </c>
    </row>
    <row r="132" spans="1:15" x14ac:dyDescent="0.3">
      <c r="A132" s="30" t="s">
        <v>644</v>
      </c>
      <c r="B132" s="30" t="s">
        <v>348</v>
      </c>
      <c r="C132">
        <v>46003</v>
      </c>
      <c r="D132" s="63">
        <v>46003</v>
      </c>
      <c r="E132" s="30" t="s">
        <v>346</v>
      </c>
      <c r="F132" s="30" t="s">
        <v>189</v>
      </c>
      <c r="G132" s="30" t="s">
        <v>114</v>
      </c>
      <c r="H132">
        <v>2025</v>
      </c>
      <c r="I132" s="30" t="s">
        <v>514</v>
      </c>
      <c r="J132" s="30" t="s">
        <v>640</v>
      </c>
      <c r="K132" s="30" t="s">
        <v>318</v>
      </c>
      <c r="L132" s="31">
        <f>_xlfn.XLOOKUP(K132, Projects!$A:$A, Projects!$D:$D)</f>
        <v>45894</v>
      </c>
      <c r="M132" s="31">
        <f>_xlfn.XLOOKUP(K132, Projects!$A:$A, Projects!$F:$F)</f>
        <v>46294</v>
      </c>
      <c r="N132" s="30">
        <f t="shared" si="4"/>
        <v>2</v>
      </c>
      <c r="O132" s="30" t="str">
        <f t="shared" si="5"/>
        <v>OK</v>
      </c>
    </row>
    <row r="133" spans="1:15" x14ac:dyDescent="0.3">
      <c r="A133" s="30" t="s">
        <v>545</v>
      </c>
      <c r="B133" s="30" t="s">
        <v>75</v>
      </c>
      <c r="C133" t="s">
        <v>76</v>
      </c>
      <c r="D133" s="63">
        <v>43836</v>
      </c>
      <c r="E133" s="30" t="s">
        <v>24</v>
      </c>
      <c r="F133" s="30" t="s">
        <v>12</v>
      </c>
      <c r="G133" s="30" t="s">
        <v>13</v>
      </c>
      <c r="H133">
        <v>2020</v>
      </c>
      <c r="I133" s="30" t="s">
        <v>513</v>
      </c>
      <c r="J133" s="30" t="s">
        <v>546</v>
      </c>
      <c r="K133" s="30" t="s">
        <v>78</v>
      </c>
      <c r="L133" s="31">
        <f>_xlfn.XLOOKUP(K133, Projects!$A:$A, Projects!$D:$D)</f>
        <v>45895</v>
      </c>
      <c r="M133" s="31">
        <f>_xlfn.XLOOKUP(K133, Projects!$A:$A, Projects!$F:$F)</f>
        <v>46354</v>
      </c>
      <c r="N133" s="30">
        <f t="shared" si="4"/>
        <v>3</v>
      </c>
      <c r="O133" s="30" t="str">
        <f t="shared" si="5"/>
        <v>Overallocated</v>
      </c>
    </row>
    <row r="134" spans="1:15" x14ac:dyDescent="0.3">
      <c r="A134" s="30" t="s">
        <v>605</v>
      </c>
      <c r="B134" s="30" t="s">
        <v>226</v>
      </c>
      <c r="C134">
        <v>43810</v>
      </c>
      <c r="D134" s="63">
        <v>43810</v>
      </c>
      <c r="E134" s="30" t="s">
        <v>31</v>
      </c>
      <c r="F134" s="30" t="s">
        <v>208</v>
      </c>
      <c r="G134" s="30" t="s">
        <v>13</v>
      </c>
      <c r="H134">
        <v>2019</v>
      </c>
      <c r="I134" s="30" t="s">
        <v>514</v>
      </c>
      <c r="J134" s="30" t="s">
        <v>562</v>
      </c>
      <c r="K134" s="30" t="s">
        <v>78</v>
      </c>
      <c r="L134" s="31">
        <f>_xlfn.XLOOKUP(K134, Projects!$A:$A, Projects!$D:$D)</f>
        <v>45895</v>
      </c>
      <c r="M134" s="31">
        <f>_xlfn.XLOOKUP(K134, Projects!$A:$A, Projects!$F:$F)</f>
        <v>46354</v>
      </c>
      <c r="N134" s="30">
        <f t="shared" si="4"/>
        <v>2</v>
      </c>
      <c r="O134" s="30" t="str">
        <f t="shared" si="5"/>
        <v>OK</v>
      </c>
    </row>
    <row r="135" spans="1:15" x14ac:dyDescent="0.3">
      <c r="A135" s="30" t="s">
        <v>559</v>
      </c>
      <c r="B135" s="30" t="s">
        <v>110</v>
      </c>
      <c r="C135">
        <v>43878</v>
      </c>
      <c r="D135" s="63">
        <v>43878</v>
      </c>
      <c r="E135" s="30" t="s">
        <v>31</v>
      </c>
      <c r="F135" s="30" t="s">
        <v>25</v>
      </c>
      <c r="G135" s="30" t="s">
        <v>13</v>
      </c>
      <c r="H135">
        <v>2020</v>
      </c>
      <c r="I135" s="30" t="s">
        <v>513</v>
      </c>
      <c r="J135" s="30" t="s">
        <v>546</v>
      </c>
      <c r="K135" s="30" t="s">
        <v>111</v>
      </c>
      <c r="L135" s="31">
        <f>_xlfn.XLOOKUP(K135, Projects!$A:$A, Projects!$D:$D)</f>
        <v>45901</v>
      </c>
      <c r="M135" s="31">
        <f>_xlfn.XLOOKUP(K135, Projects!$A:$A, Projects!$F:$F)</f>
        <v>46298</v>
      </c>
      <c r="N135" s="30">
        <f t="shared" si="4"/>
        <v>2</v>
      </c>
      <c r="O135" s="30" t="str">
        <f t="shared" si="5"/>
        <v>OK</v>
      </c>
    </row>
    <row r="136" spans="1:15" x14ac:dyDescent="0.3">
      <c r="A136" s="30" t="s">
        <v>577</v>
      </c>
      <c r="B136" s="30" t="s">
        <v>148</v>
      </c>
      <c r="C136">
        <v>43717</v>
      </c>
      <c r="D136" s="63">
        <v>43717</v>
      </c>
      <c r="E136" s="30" t="s">
        <v>31</v>
      </c>
      <c r="F136" s="30" t="s">
        <v>25</v>
      </c>
      <c r="G136" s="30" t="s">
        <v>13</v>
      </c>
      <c r="H136">
        <v>2019</v>
      </c>
      <c r="I136" s="30" t="s">
        <v>516</v>
      </c>
      <c r="J136" s="30" t="s">
        <v>540</v>
      </c>
      <c r="K136" s="30" t="s">
        <v>111</v>
      </c>
      <c r="L136" s="31">
        <f>_xlfn.XLOOKUP(K136, Projects!$A:$A, Projects!$D:$D)</f>
        <v>45901</v>
      </c>
      <c r="M136" s="31">
        <f>_xlfn.XLOOKUP(K136, Projects!$A:$A, Projects!$F:$F)</f>
        <v>46298</v>
      </c>
      <c r="N136" s="30">
        <f t="shared" si="4"/>
        <v>2</v>
      </c>
      <c r="O136" s="30" t="str">
        <f t="shared" si="5"/>
        <v>OK</v>
      </c>
    </row>
    <row r="137" spans="1:15" x14ac:dyDescent="0.3">
      <c r="A137" s="30" t="s">
        <v>579</v>
      </c>
      <c r="B137" s="30" t="s">
        <v>152</v>
      </c>
      <c r="C137">
        <v>42311</v>
      </c>
      <c r="D137" s="63">
        <v>42311</v>
      </c>
      <c r="E137" s="30" t="s">
        <v>36</v>
      </c>
      <c r="F137" s="30" t="s">
        <v>12</v>
      </c>
      <c r="G137" s="30" t="s">
        <v>114</v>
      </c>
      <c r="H137">
        <v>2015</v>
      </c>
      <c r="I137" s="30" t="s">
        <v>514</v>
      </c>
      <c r="J137" s="30" t="s">
        <v>580</v>
      </c>
      <c r="K137" s="30" t="s">
        <v>111</v>
      </c>
      <c r="L137" s="31">
        <f>_xlfn.XLOOKUP(K137, Projects!$A:$A, Projects!$D:$D)</f>
        <v>45901</v>
      </c>
      <c r="M137" s="31">
        <f>_xlfn.XLOOKUP(K137, Projects!$A:$A, Projects!$F:$F)</f>
        <v>46298</v>
      </c>
      <c r="N137" s="30">
        <f t="shared" si="4"/>
        <v>2</v>
      </c>
      <c r="O137" s="30" t="str">
        <f t="shared" si="5"/>
        <v>OK</v>
      </c>
    </row>
    <row r="138" spans="1:15" x14ac:dyDescent="0.3">
      <c r="A138" s="30" t="s">
        <v>266</v>
      </c>
      <c r="B138" s="30" t="s">
        <v>267</v>
      </c>
      <c r="C138">
        <v>44133</v>
      </c>
      <c r="D138" s="63">
        <v>44133</v>
      </c>
      <c r="E138" s="30" t="s">
        <v>31</v>
      </c>
      <c r="F138" s="30" t="s">
        <v>189</v>
      </c>
      <c r="G138" s="30" t="s">
        <v>13</v>
      </c>
      <c r="H138">
        <v>2020</v>
      </c>
      <c r="I138" s="30" t="s">
        <v>514</v>
      </c>
      <c r="J138" s="30" t="s">
        <v>552</v>
      </c>
      <c r="K138" s="30" t="s">
        <v>111</v>
      </c>
      <c r="L138" s="31">
        <f>_xlfn.XLOOKUP(K138, Projects!$A:$A, Projects!$D:$D)</f>
        <v>45901</v>
      </c>
      <c r="M138" s="31">
        <f>_xlfn.XLOOKUP(K138, Projects!$A:$A, Projects!$F:$F)</f>
        <v>46298</v>
      </c>
      <c r="N138" s="30">
        <f t="shared" si="4"/>
        <v>1</v>
      </c>
      <c r="O138" s="30" t="str">
        <f t="shared" si="5"/>
        <v>OK</v>
      </c>
    </row>
    <row r="139" spans="1:15" x14ac:dyDescent="0.3">
      <c r="A139" s="30" t="s">
        <v>67</v>
      </c>
      <c r="B139" s="30" t="s">
        <v>68</v>
      </c>
      <c r="C139">
        <v>45301</v>
      </c>
      <c r="D139" s="63">
        <v>45301</v>
      </c>
      <c r="E139" s="30" t="s">
        <v>11</v>
      </c>
      <c r="F139" s="30" t="s">
        <v>25</v>
      </c>
      <c r="G139" s="30" t="s">
        <v>13</v>
      </c>
      <c r="H139">
        <v>2024</v>
      </c>
      <c r="I139" s="30" t="s">
        <v>513</v>
      </c>
      <c r="J139" s="30" t="s">
        <v>542</v>
      </c>
      <c r="K139" s="30" t="s">
        <v>69</v>
      </c>
      <c r="L139" s="31">
        <f>_xlfn.XLOOKUP(K139, Projects!$A:$A, Projects!$D:$D)</f>
        <v>45903</v>
      </c>
      <c r="M139" s="31">
        <f>_xlfn.XLOOKUP(K139, Projects!$A:$A, Projects!$F:$F)</f>
        <v>46337</v>
      </c>
      <c r="N139" s="30">
        <f t="shared" si="4"/>
        <v>2</v>
      </c>
      <c r="O139" s="30" t="str">
        <f t="shared" si="5"/>
        <v>OK</v>
      </c>
    </row>
    <row r="140" spans="1:15" x14ac:dyDescent="0.3">
      <c r="A140" s="30" t="s">
        <v>79</v>
      </c>
      <c r="B140" s="30" t="s">
        <v>80</v>
      </c>
      <c r="C140">
        <v>42705</v>
      </c>
      <c r="D140" s="63">
        <v>42705</v>
      </c>
      <c r="E140" s="30" t="s">
        <v>54</v>
      </c>
      <c r="F140" s="30" t="s">
        <v>25</v>
      </c>
      <c r="G140" s="30" t="s">
        <v>13</v>
      </c>
      <c r="H140">
        <v>2016</v>
      </c>
      <c r="I140" s="30" t="s">
        <v>514</v>
      </c>
      <c r="J140" s="30" t="s">
        <v>547</v>
      </c>
      <c r="K140" s="30" t="s">
        <v>69</v>
      </c>
      <c r="L140" s="31">
        <f>_xlfn.XLOOKUP(K140, Projects!$A:$A, Projects!$D:$D)</f>
        <v>45903</v>
      </c>
      <c r="M140" s="31">
        <f>_xlfn.XLOOKUP(K140, Projects!$A:$A, Projects!$F:$F)</f>
        <v>46337</v>
      </c>
      <c r="N140" s="30">
        <f t="shared" si="4"/>
        <v>2</v>
      </c>
      <c r="O140" s="30" t="str">
        <f t="shared" si="5"/>
        <v>OK</v>
      </c>
    </row>
    <row r="141" spans="1:15" x14ac:dyDescent="0.3">
      <c r="A141" s="30" t="s">
        <v>582</v>
      </c>
      <c r="B141" s="30" t="s">
        <v>160</v>
      </c>
      <c r="C141">
        <v>43814</v>
      </c>
      <c r="D141" s="63">
        <v>43814</v>
      </c>
      <c r="E141" s="30" t="s">
        <v>31</v>
      </c>
      <c r="F141" s="30" t="s">
        <v>12</v>
      </c>
      <c r="G141" s="30" t="s">
        <v>13</v>
      </c>
      <c r="H141">
        <v>2019</v>
      </c>
      <c r="I141" s="30" t="s">
        <v>514</v>
      </c>
      <c r="J141" s="30" t="s">
        <v>562</v>
      </c>
      <c r="K141" s="30" t="s">
        <v>69</v>
      </c>
      <c r="L141" s="31">
        <f>_xlfn.XLOOKUP(K141, Projects!$A:$A, Projects!$D:$D)</f>
        <v>45903</v>
      </c>
      <c r="M141" s="31">
        <f>_xlfn.XLOOKUP(K141, Projects!$A:$A, Projects!$F:$F)</f>
        <v>46337</v>
      </c>
      <c r="N141" s="30">
        <f t="shared" si="4"/>
        <v>2</v>
      </c>
      <c r="O141" s="30" t="str">
        <f t="shared" si="5"/>
        <v>OK</v>
      </c>
    </row>
    <row r="142" spans="1:15" x14ac:dyDescent="0.3">
      <c r="A142" s="30" t="s">
        <v>610</v>
      </c>
      <c r="B142" s="30" t="s">
        <v>243</v>
      </c>
      <c r="C142">
        <v>44273</v>
      </c>
      <c r="D142" s="63">
        <v>44273</v>
      </c>
      <c r="E142" s="30" t="s">
        <v>54</v>
      </c>
      <c r="F142" s="30" t="s">
        <v>189</v>
      </c>
      <c r="G142" s="30" t="s">
        <v>55</v>
      </c>
      <c r="H142">
        <v>2021</v>
      </c>
      <c r="I142" s="30" t="s">
        <v>513</v>
      </c>
      <c r="J142" s="30" t="s">
        <v>524</v>
      </c>
      <c r="K142" s="30" t="s">
        <v>69</v>
      </c>
      <c r="L142" s="31">
        <f>_xlfn.XLOOKUP(K142, Projects!$A:$A, Projects!$D:$D)</f>
        <v>45903</v>
      </c>
      <c r="M142" s="31">
        <f>_xlfn.XLOOKUP(K142, Projects!$A:$A, Projects!$F:$F)</f>
        <v>46337</v>
      </c>
      <c r="N142" s="30">
        <f t="shared" si="4"/>
        <v>1</v>
      </c>
      <c r="O142" s="30" t="str">
        <f t="shared" si="5"/>
        <v>OK</v>
      </c>
    </row>
    <row r="143" spans="1:15" x14ac:dyDescent="0.3">
      <c r="A143" s="30" t="s">
        <v>537</v>
      </c>
      <c r="B143" s="30" t="s">
        <v>58</v>
      </c>
      <c r="C143">
        <v>45673</v>
      </c>
      <c r="D143" s="63">
        <v>45673</v>
      </c>
      <c r="E143" s="30" t="s">
        <v>31</v>
      </c>
      <c r="F143" s="30" t="s">
        <v>25</v>
      </c>
      <c r="G143" s="30" t="s">
        <v>55</v>
      </c>
      <c r="H143">
        <v>2025</v>
      </c>
      <c r="I143" s="30" t="s">
        <v>513</v>
      </c>
      <c r="J143" s="30" t="s">
        <v>538</v>
      </c>
      <c r="K143" s="30" t="s">
        <v>59</v>
      </c>
      <c r="L143" s="31">
        <f>_xlfn.XLOOKUP(K143, Projects!$A:$A, Projects!$D:$D)</f>
        <v>45908</v>
      </c>
      <c r="M143" s="31">
        <f>_xlfn.XLOOKUP(K143, Projects!$A:$A, Projects!$F:$F)</f>
        <v>46022</v>
      </c>
      <c r="N143" s="30">
        <f t="shared" si="4"/>
        <v>1</v>
      </c>
      <c r="O143" s="30" t="str">
        <f t="shared" si="5"/>
        <v>OK</v>
      </c>
    </row>
    <row r="144" spans="1:15" x14ac:dyDescent="0.3">
      <c r="A144" s="30" t="s">
        <v>553</v>
      </c>
      <c r="B144" s="30" t="s">
        <v>91</v>
      </c>
      <c r="C144">
        <v>43668</v>
      </c>
      <c r="D144" s="63">
        <v>43668</v>
      </c>
      <c r="E144" s="30" t="s">
        <v>36</v>
      </c>
      <c r="F144" s="30" t="s">
        <v>19</v>
      </c>
      <c r="G144" s="30" t="s">
        <v>13</v>
      </c>
      <c r="H144">
        <v>2019</v>
      </c>
      <c r="I144" s="30" t="s">
        <v>516</v>
      </c>
      <c r="J144" s="30" t="s">
        <v>540</v>
      </c>
      <c r="K144" s="30" t="s">
        <v>92</v>
      </c>
      <c r="L144" s="31">
        <f>_xlfn.XLOOKUP(K144, Projects!$A:$A, Projects!$D:$D)</f>
        <v>45908</v>
      </c>
      <c r="M144" s="31">
        <f>_xlfn.XLOOKUP(K144, Projects!$A:$A, Projects!$F:$F)</f>
        <v>46387</v>
      </c>
      <c r="N144" s="30">
        <f t="shared" si="4"/>
        <v>2</v>
      </c>
      <c r="O144" s="30" t="str">
        <f t="shared" si="5"/>
        <v>OK</v>
      </c>
    </row>
    <row r="145" spans="1:15" x14ac:dyDescent="0.3">
      <c r="A145" s="30" t="s">
        <v>143</v>
      </c>
      <c r="B145" s="30" t="s">
        <v>144</v>
      </c>
      <c r="C145">
        <v>43147</v>
      </c>
      <c r="D145" s="63">
        <v>43147</v>
      </c>
      <c r="E145" s="30" t="s">
        <v>24</v>
      </c>
      <c r="F145" s="30" t="s">
        <v>12</v>
      </c>
      <c r="G145" s="30" t="s">
        <v>13</v>
      </c>
      <c r="H145">
        <v>2018</v>
      </c>
      <c r="I145" s="30" t="s">
        <v>513</v>
      </c>
      <c r="J145" s="30" t="s">
        <v>576</v>
      </c>
      <c r="K145" s="30" t="s">
        <v>59</v>
      </c>
      <c r="L145" s="31">
        <f>_xlfn.XLOOKUP(K145, Projects!$A:$A, Projects!$D:$D)</f>
        <v>45908</v>
      </c>
      <c r="M145" s="31">
        <f>_xlfn.XLOOKUP(K145, Projects!$A:$A, Projects!$F:$F)</f>
        <v>46022</v>
      </c>
      <c r="N145" s="30">
        <f t="shared" si="4"/>
        <v>3</v>
      </c>
      <c r="O145" s="30" t="str">
        <f t="shared" si="5"/>
        <v>Overallocated</v>
      </c>
    </row>
    <row r="146" spans="1:15" x14ac:dyDescent="0.3">
      <c r="A146" s="30" t="s">
        <v>581</v>
      </c>
      <c r="B146" s="30" t="s">
        <v>155</v>
      </c>
      <c r="C146" t="s">
        <v>156</v>
      </c>
      <c r="D146" s="63">
        <v>43908</v>
      </c>
      <c r="E146" s="30" t="s">
        <v>31</v>
      </c>
      <c r="F146" s="30" t="s">
        <v>25</v>
      </c>
      <c r="G146" s="30" t="s">
        <v>13</v>
      </c>
      <c r="H146">
        <v>2020</v>
      </c>
      <c r="I146" s="30" t="s">
        <v>513</v>
      </c>
      <c r="J146" s="30" t="s">
        <v>546</v>
      </c>
      <c r="K146" s="30" t="s">
        <v>92</v>
      </c>
      <c r="L146" s="31">
        <f>_xlfn.XLOOKUP(K146, Projects!$A:$A, Projects!$D:$D)</f>
        <v>45908</v>
      </c>
      <c r="M146" s="31">
        <f>_xlfn.XLOOKUP(K146, Projects!$A:$A, Projects!$F:$F)</f>
        <v>46387</v>
      </c>
      <c r="N146" s="30">
        <f t="shared" si="4"/>
        <v>1</v>
      </c>
      <c r="O146" s="30" t="str">
        <f t="shared" si="5"/>
        <v>OK</v>
      </c>
    </row>
    <row r="147" spans="1:15" x14ac:dyDescent="0.3">
      <c r="A147" s="30" t="s">
        <v>157</v>
      </c>
      <c r="B147" s="30" t="s">
        <v>158</v>
      </c>
      <c r="C147">
        <v>44384</v>
      </c>
      <c r="D147" s="63">
        <v>44384</v>
      </c>
      <c r="E147" s="30" t="s">
        <v>54</v>
      </c>
      <c r="F147" s="30" t="s">
        <v>19</v>
      </c>
      <c r="G147" s="30" t="s">
        <v>55</v>
      </c>
      <c r="H147">
        <v>2021</v>
      </c>
      <c r="I147" s="30" t="s">
        <v>516</v>
      </c>
      <c r="J147" s="30" t="s">
        <v>549</v>
      </c>
      <c r="K147" s="30" t="s">
        <v>92</v>
      </c>
      <c r="L147" s="31">
        <f>_xlfn.XLOOKUP(K147, Projects!$A:$A, Projects!$D:$D)</f>
        <v>45908</v>
      </c>
      <c r="M147" s="31">
        <f>_xlfn.XLOOKUP(K147, Projects!$A:$A, Projects!$F:$F)</f>
        <v>46387</v>
      </c>
      <c r="N147" s="30">
        <f t="shared" si="4"/>
        <v>1</v>
      </c>
      <c r="O147" s="30" t="str">
        <f t="shared" si="5"/>
        <v>OK</v>
      </c>
    </row>
    <row r="148" spans="1:15" x14ac:dyDescent="0.3">
      <c r="A148" s="30" t="s">
        <v>583</v>
      </c>
      <c r="B148" s="30" t="s">
        <v>163</v>
      </c>
      <c r="C148">
        <v>42389</v>
      </c>
      <c r="D148" s="63">
        <v>42389</v>
      </c>
      <c r="E148" s="30" t="s">
        <v>24</v>
      </c>
      <c r="F148" s="30" t="s">
        <v>25</v>
      </c>
      <c r="G148" s="30" t="s">
        <v>114</v>
      </c>
      <c r="H148">
        <v>2016</v>
      </c>
      <c r="I148" s="30" t="s">
        <v>513</v>
      </c>
      <c r="J148" s="30" t="s">
        <v>560</v>
      </c>
      <c r="K148" s="30" t="s">
        <v>92</v>
      </c>
      <c r="L148" s="31">
        <f>_xlfn.XLOOKUP(K148, Projects!$A:$A, Projects!$D:$D)</f>
        <v>45908</v>
      </c>
      <c r="M148" s="31">
        <f>_xlfn.XLOOKUP(K148, Projects!$A:$A, Projects!$F:$F)</f>
        <v>46387</v>
      </c>
      <c r="N148" s="30">
        <f t="shared" si="4"/>
        <v>2</v>
      </c>
      <c r="O148" s="30" t="str">
        <f t="shared" si="5"/>
        <v>OK</v>
      </c>
    </row>
    <row r="149" spans="1:15" x14ac:dyDescent="0.3">
      <c r="A149" s="30" t="s">
        <v>16</v>
      </c>
      <c r="B149" s="30" t="s">
        <v>17</v>
      </c>
      <c r="C149">
        <v>44242</v>
      </c>
      <c r="D149" s="63">
        <v>44242</v>
      </c>
      <c r="E149" s="30" t="s">
        <v>18</v>
      </c>
      <c r="F149" s="30" t="s">
        <v>19</v>
      </c>
      <c r="G149" s="30" t="s">
        <v>13</v>
      </c>
      <c r="H149">
        <v>2021</v>
      </c>
      <c r="I149" s="30" t="s">
        <v>513</v>
      </c>
      <c r="J149" s="30" t="s">
        <v>524</v>
      </c>
      <c r="K149" s="30" t="s">
        <v>21</v>
      </c>
      <c r="L149" s="31">
        <f>_xlfn.XLOOKUP(K149, Projects!$A:$A, Projects!$D:$D)</f>
        <v>45910</v>
      </c>
      <c r="M149" s="31">
        <f>_xlfn.XLOOKUP(K149, Projects!$A:$A, Projects!$F:$F)</f>
        <v>46022</v>
      </c>
      <c r="N149" s="30">
        <f t="shared" si="4"/>
        <v>1</v>
      </c>
      <c r="O149" s="30" t="str">
        <f t="shared" si="5"/>
        <v>OK</v>
      </c>
    </row>
    <row r="150" spans="1:15" x14ac:dyDescent="0.3">
      <c r="A150" s="30" t="s">
        <v>79</v>
      </c>
      <c r="B150" s="30" t="s">
        <v>80</v>
      </c>
      <c r="C150">
        <v>42705</v>
      </c>
      <c r="D150" s="63">
        <v>42705</v>
      </c>
      <c r="E150" s="30" t="s">
        <v>54</v>
      </c>
      <c r="F150" s="30" t="s">
        <v>25</v>
      </c>
      <c r="G150" s="30" t="s">
        <v>13</v>
      </c>
      <c r="H150">
        <v>2016</v>
      </c>
      <c r="I150" s="30" t="s">
        <v>514</v>
      </c>
      <c r="J150" s="30" t="s">
        <v>547</v>
      </c>
      <c r="K150" s="30" t="s">
        <v>81</v>
      </c>
      <c r="L150" s="31">
        <v>45910</v>
      </c>
      <c r="M150" s="31">
        <v>46022</v>
      </c>
      <c r="N150" s="30">
        <f t="shared" si="4"/>
        <v>2</v>
      </c>
      <c r="O150" s="30" t="str">
        <f t="shared" si="5"/>
        <v>OK</v>
      </c>
    </row>
    <row r="151" spans="1:15" x14ac:dyDescent="0.3">
      <c r="A151" s="30" t="s">
        <v>559</v>
      </c>
      <c r="B151" s="30" t="s">
        <v>110</v>
      </c>
      <c r="C151">
        <v>43878</v>
      </c>
      <c r="D151" s="63">
        <v>43878</v>
      </c>
      <c r="E151" s="30" t="s">
        <v>31</v>
      </c>
      <c r="F151" s="30" t="s">
        <v>25</v>
      </c>
      <c r="G151" s="30" t="s">
        <v>13</v>
      </c>
      <c r="H151">
        <v>2020</v>
      </c>
      <c r="I151" s="30" t="s">
        <v>513</v>
      </c>
      <c r="J151" s="30" t="s">
        <v>546</v>
      </c>
      <c r="K151" s="30" t="s">
        <v>21</v>
      </c>
      <c r="L151" s="31">
        <f>_xlfn.XLOOKUP(K151, Projects!$A:$A, Projects!$D:$D)</f>
        <v>45910</v>
      </c>
      <c r="M151" s="31">
        <f>_xlfn.XLOOKUP(K151, Projects!$A:$A, Projects!$F:$F)</f>
        <v>46022</v>
      </c>
      <c r="N151" s="30">
        <f t="shared" si="4"/>
        <v>2</v>
      </c>
      <c r="O151" s="30" t="str">
        <f t="shared" si="5"/>
        <v>OK</v>
      </c>
    </row>
    <row r="152" spans="1:15" x14ac:dyDescent="0.3">
      <c r="A152" s="30" t="s">
        <v>639</v>
      </c>
      <c r="B152" s="30" t="s">
        <v>332</v>
      </c>
      <c r="C152">
        <v>46003</v>
      </c>
      <c r="D152" s="63">
        <v>46003</v>
      </c>
      <c r="E152" s="30" t="s">
        <v>24</v>
      </c>
      <c r="F152" s="30" t="s">
        <v>193</v>
      </c>
      <c r="G152" s="30" t="s">
        <v>55</v>
      </c>
      <c r="H152">
        <v>2025</v>
      </c>
      <c r="I152" s="30" t="s">
        <v>514</v>
      </c>
      <c r="J152" s="30" t="s">
        <v>640</v>
      </c>
      <c r="K152" s="30" t="s">
        <v>333</v>
      </c>
      <c r="L152" s="31">
        <f>_xlfn.XLOOKUP(K152, Projects!$A:$A, Projects!$D:$D)</f>
        <v>45912</v>
      </c>
      <c r="M152" s="31">
        <f>_xlfn.XLOOKUP(K152, Projects!$A:$A, Projects!$F:$F)</f>
        <v>46326</v>
      </c>
      <c r="N152" s="30">
        <f t="shared" si="4"/>
        <v>1</v>
      </c>
      <c r="O152" s="30" t="str">
        <f t="shared" si="5"/>
        <v>OK</v>
      </c>
    </row>
    <row r="153" spans="1:15" x14ac:dyDescent="0.3">
      <c r="A153" s="30" t="s">
        <v>651</v>
      </c>
      <c r="B153" s="30" t="s">
        <v>365</v>
      </c>
      <c r="C153">
        <v>44956</v>
      </c>
      <c r="D153" s="63">
        <v>44956</v>
      </c>
      <c r="E153" s="30" t="s">
        <v>24</v>
      </c>
      <c r="F153" s="30" t="s">
        <v>12</v>
      </c>
      <c r="G153" s="30" t="s">
        <v>114</v>
      </c>
      <c r="H153">
        <v>2023</v>
      </c>
      <c r="I153" s="30" t="s">
        <v>513</v>
      </c>
      <c r="J153" s="30" t="s">
        <v>595</v>
      </c>
      <c r="K153" s="30" t="s">
        <v>333</v>
      </c>
      <c r="L153" s="31">
        <f>_xlfn.XLOOKUP(K153, Projects!$A:$A, Projects!$D:$D)</f>
        <v>45912</v>
      </c>
      <c r="M153" s="31">
        <f>_xlfn.XLOOKUP(K153, Projects!$A:$A, Projects!$F:$F)</f>
        <v>46326</v>
      </c>
      <c r="N153" s="30">
        <f t="shared" si="4"/>
        <v>2</v>
      </c>
      <c r="O153" s="30" t="str">
        <f t="shared" si="5"/>
        <v>OK</v>
      </c>
    </row>
    <row r="154" spans="1:15" x14ac:dyDescent="0.3">
      <c r="A154" s="30" t="s">
        <v>556</v>
      </c>
      <c r="B154" s="30" t="s">
        <v>103</v>
      </c>
      <c r="C154">
        <v>42884</v>
      </c>
      <c r="D154" s="63">
        <v>42884</v>
      </c>
      <c r="E154" s="30" t="s">
        <v>24</v>
      </c>
      <c r="F154" s="30" t="s">
        <v>19</v>
      </c>
      <c r="G154" s="30" t="s">
        <v>13</v>
      </c>
      <c r="H154">
        <v>2017</v>
      </c>
      <c r="I154" s="30" t="s">
        <v>515</v>
      </c>
      <c r="J154" s="30" t="s">
        <v>534</v>
      </c>
      <c r="K154" s="30" t="s">
        <v>105</v>
      </c>
      <c r="L154" s="31">
        <f>_xlfn.XLOOKUP(K154, Projects!$A:$A, Projects!$D:$D)</f>
        <v>45915</v>
      </c>
      <c r="M154" s="31">
        <f>_xlfn.XLOOKUP(K154, Projects!$A:$A, Projects!$F:$F)</f>
        <v>46354</v>
      </c>
      <c r="N154" s="30">
        <f t="shared" si="4"/>
        <v>2</v>
      </c>
      <c r="O154" s="30" t="str">
        <f t="shared" si="5"/>
        <v>OK</v>
      </c>
    </row>
    <row r="155" spans="1:15" x14ac:dyDescent="0.3">
      <c r="A155" s="30" t="s">
        <v>143</v>
      </c>
      <c r="B155" s="30" t="s">
        <v>144</v>
      </c>
      <c r="C155">
        <v>43147</v>
      </c>
      <c r="D155" s="63">
        <v>43147</v>
      </c>
      <c r="E155" s="30" t="s">
        <v>24</v>
      </c>
      <c r="F155" s="30" t="s">
        <v>12</v>
      </c>
      <c r="G155" s="30" t="s">
        <v>13</v>
      </c>
      <c r="H155">
        <v>2018</v>
      </c>
      <c r="I155" s="30" t="s">
        <v>513</v>
      </c>
      <c r="J155" s="30" t="s">
        <v>576</v>
      </c>
      <c r="K155" s="30" t="s">
        <v>146</v>
      </c>
      <c r="L155" s="31">
        <f>_xlfn.XLOOKUP(K155, Projects!$A:$A, Projects!$D:$D)</f>
        <v>45915</v>
      </c>
      <c r="M155" s="31">
        <f>_xlfn.XLOOKUP(K155, Projects!$A:$A, Projects!$F:$F)</f>
        <v>46375</v>
      </c>
      <c r="N155" s="30">
        <f t="shared" si="4"/>
        <v>3</v>
      </c>
      <c r="O155" s="30" t="str">
        <f t="shared" si="5"/>
        <v>Overallocated</v>
      </c>
    </row>
    <row r="156" spans="1:15" x14ac:dyDescent="0.3">
      <c r="A156" s="30" t="s">
        <v>615</v>
      </c>
      <c r="B156" s="30" t="s">
        <v>256</v>
      </c>
      <c r="C156">
        <v>43581</v>
      </c>
      <c r="D156" s="63">
        <v>43581</v>
      </c>
      <c r="E156" s="30" t="s">
        <v>170</v>
      </c>
      <c r="F156" s="30" t="s">
        <v>193</v>
      </c>
      <c r="G156" s="30" t="s">
        <v>13</v>
      </c>
      <c r="H156">
        <v>2019</v>
      </c>
      <c r="I156" s="30" t="s">
        <v>515</v>
      </c>
      <c r="J156" s="30" t="s">
        <v>591</v>
      </c>
      <c r="K156" s="30" t="s">
        <v>105</v>
      </c>
      <c r="L156" s="31">
        <f>_xlfn.XLOOKUP(K156, Projects!$A:$A, Projects!$D:$D)</f>
        <v>45915</v>
      </c>
      <c r="M156" s="31">
        <f>_xlfn.XLOOKUP(K156, Projects!$A:$A, Projects!$F:$F)</f>
        <v>46354</v>
      </c>
      <c r="N156" s="30">
        <f t="shared" si="4"/>
        <v>3</v>
      </c>
      <c r="O156" s="30" t="str">
        <f t="shared" si="5"/>
        <v>Overallocated</v>
      </c>
    </row>
    <row r="157" spans="1:15" x14ac:dyDescent="0.3">
      <c r="A157" s="30" t="s">
        <v>615</v>
      </c>
      <c r="B157" s="30" t="s">
        <v>256</v>
      </c>
      <c r="C157">
        <v>43581</v>
      </c>
      <c r="D157" s="63">
        <v>43581</v>
      </c>
      <c r="E157" s="30" t="s">
        <v>170</v>
      </c>
      <c r="F157" s="30" t="s">
        <v>193</v>
      </c>
      <c r="G157" s="30" t="s">
        <v>13</v>
      </c>
      <c r="H157">
        <v>2019</v>
      </c>
      <c r="I157" s="30" t="s">
        <v>515</v>
      </c>
      <c r="J157" s="30" t="s">
        <v>591</v>
      </c>
      <c r="K157" s="30" t="s">
        <v>146</v>
      </c>
      <c r="L157" s="31">
        <f>_xlfn.XLOOKUP(K157, Projects!$A:$A, Projects!$D:$D)</f>
        <v>45915</v>
      </c>
      <c r="M157" s="31">
        <f>_xlfn.XLOOKUP(K157, Projects!$A:$A, Projects!$F:$F)</f>
        <v>46375</v>
      </c>
      <c r="N157" s="30">
        <f t="shared" si="4"/>
        <v>3</v>
      </c>
      <c r="O157" s="30" t="str">
        <f t="shared" si="5"/>
        <v>Overallocated</v>
      </c>
    </row>
    <row r="158" spans="1:15" x14ac:dyDescent="0.3">
      <c r="A158" s="30" t="s">
        <v>617</v>
      </c>
      <c r="B158" s="30" t="s">
        <v>262</v>
      </c>
      <c r="C158" t="s">
        <v>263</v>
      </c>
      <c r="D158" s="63">
        <v>42782</v>
      </c>
      <c r="E158" s="30" t="s">
        <v>31</v>
      </c>
      <c r="F158" s="30" t="s">
        <v>196</v>
      </c>
      <c r="G158" s="30" t="s">
        <v>13</v>
      </c>
      <c r="H158">
        <v>2017</v>
      </c>
      <c r="I158" s="30" t="s">
        <v>513</v>
      </c>
      <c r="J158" s="30" t="s">
        <v>544</v>
      </c>
      <c r="K158" s="30" t="s">
        <v>264</v>
      </c>
      <c r="L158" s="31">
        <f>_xlfn.XLOOKUP(K158, Projects!$A:$A, Projects!$D:$D)</f>
        <v>45915</v>
      </c>
      <c r="M158" s="31">
        <f>_xlfn.XLOOKUP(K158, Projects!$A:$A, Projects!$F:$F)</f>
        <v>46081</v>
      </c>
      <c r="N158" s="30">
        <f t="shared" si="4"/>
        <v>2</v>
      </c>
      <c r="O158" s="30" t="str">
        <f t="shared" si="5"/>
        <v>OK</v>
      </c>
    </row>
    <row r="159" spans="1:15" x14ac:dyDescent="0.3">
      <c r="A159" s="30" t="s">
        <v>625</v>
      </c>
      <c r="B159" s="30" t="s">
        <v>291</v>
      </c>
      <c r="C159">
        <v>44212</v>
      </c>
      <c r="D159" s="63">
        <v>44212</v>
      </c>
      <c r="E159" s="30" t="s">
        <v>54</v>
      </c>
      <c r="F159" s="30" t="s">
        <v>208</v>
      </c>
      <c r="G159" s="30" t="s">
        <v>13</v>
      </c>
      <c r="H159">
        <v>2021</v>
      </c>
      <c r="I159" s="30" t="s">
        <v>513</v>
      </c>
      <c r="J159" s="30" t="s">
        <v>524</v>
      </c>
      <c r="K159" s="30" t="s">
        <v>292</v>
      </c>
      <c r="L159" s="31">
        <f>_xlfn.XLOOKUP(K159, Projects!$A:$A, Projects!$D:$D)</f>
        <v>45915</v>
      </c>
      <c r="M159" s="31">
        <f>_xlfn.XLOOKUP(K159, Projects!$A:$A, Projects!$F:$F)</f>
        <v>46022</v>
      </c>
      <c r="N159" s="30">
        <f t="shared" si="4"/>
        <v>1</v>
      </c>
      <c r="O159" s="30" t="str">
        <f t="shared" si="5"/>
        <v>OK</v>
      </c>
    </row>
    <row r="160" spans="1:15" x14ac:dyDescent="0.3">
      <c r="A160" s="30" t="s">
        <v>628</v>
      </c>
      <c r="B160" s="30" t="s">
        <v>300</v>
      </c>
      <c r="C160">
        <v>44624</v>
      </c>
      <c r="D160" s="63">
        <v>44624</v>
      </c>
      <c r="E160" s="30" t="s">
        <v>54</v>
      </c>
      <c r="F160" s="30" t="s">
        <v>196</v>
      </c>
      <c r="G160" s="30" t="s">
        <v>55</v>
      </c>
      <c r="H160">
        <v>2022</v>
      </c>
      <c r="I160" s="30" t="s">
        <v>513</v>
      </c>
      <c r="J160" s="30" t="s">
        <v>523</v>
      </c>
      <c r="K160" s="30" t="s">
        <v>301</v>
      </c>
      <c r="L160" s="31">
        <f>_xlfn.XLOOKUP(K160, Projects!$A:$A, Projects!$D:$D)</f>
        <v>45915</v>
      </c>
      <c r="M160" s="31">
        <f>_xlfn.XLOOKUP(K160, Projects!$A:$A, Projects!$F:$F)</f>
        <v>46387</v>
      </c>
      <c r="N160" s="30">
        <f t="shared" si="4"/>
        <v>1</v>
      </c>
      <c r="O160" s="30" t="str">
        <f t="shared" si="5"/>
        <v>OK</v>
      </c>
    </row>
    <row r="161" spans="1:15" x14ac:dyDescent="0.3">
      <c r="A161" s="30" t="s">
        <v>643</v>
      </c>
      <c r="B161" s="30" t="s">
        <v>344</v>
      </c>
      <c r="C161" t="s">
        <v>345</v>
      </c>
      <c r="D161" s="63">
        <v>46022</v>
      </c>
      <c r="E161" s="30" t="s">
        <v>346</v>
      </c>
      <c r="F161" s="30" t="s">
        <v>189</v>
      </c>
      <c r="G161" s="30" t="s">
        <v>55</v>
      </c>
      <c r="H161">
        <v>2025</v>
      </c>
      <c r="I161" s="30" t="s">
        <v>514</v>
      </c>
      <c r="J161" s="30" t="s">
        <v>640</v>
      </c>
      <c r="K161" s="30" t="s">
        <v>264</v>
      </c>
      <c r="L161" s="31">
        <f>_xlfn.XLOOKUP(K161, Projects!$A:$A, Projects!$D:$D)</f>
        <v>45915</v>
      </c>
      <c r="M161" s="31">
        <f>_xlfn.XLOOKUP(K161, Projects!$A:$A, Projects!$F:$F)</f>
        <v>46081</v>
      </c>
      <c r="N161" s="30">
        <f t="shared" si="4"/>
        <v>1</v>
      </c>
      <c r="O161" s="30" t="str">
        <f t="shared" si="5"/>
        <v>OK</v>
      </c>
    </row>
    <row r="162" spans="1:15" x14ac:dyDescent="0.3">
      <c r="A162" s="30" t="s">
        <v>654</v>
      </c>
      <c r="B162" s="30" t="s">
        <v>373</v>
      </c>
      <c r="C162">
        <v>44133</v>
      </c>
      <c r="D162" s="63">
        <v>44133</v>
      </c>
      <c r="E162" s="30" t="s">
        <v>54</v>
      </c>
      <c r="F162" s="30" t="s">
        <v>203</v>
      </c>
      <c r="G162" s="30" t="s">
        <v>13</v>
      </c>
      <c r="H162">
        <v>2020</v>
      </c>
      <c r="I162" s="30" t="s">
        <v>514</v>
      </c>
      <c r="J162" s="30" t="s">
        <v>552</v>
      </c>
      <c r="K162" s="30" t="s">
        <v>292</v>
      </c>
      <c r="L162" s="31">
        <f>_xlfn.XLOOKUP(K162, Projects!$A:$A, Projects!$D:$D)</f>
        <v>45915</v>
      </c>
      <c r="M162" s="31">
        <f>_xlfn.XLOOKUP(K162, Projects!$A:$A, Projects!$F:$F)</f>
        <v>46022</v>
      </c>
      <c r="N162" s="30">
        <f t="shared" si="4"/>
        <v>1</v>
      </c>
      <c r="O162" s="30" t="str">
        <f t="shared" si="5"/>
        <v>OK</v>
      </c>
    </row>
    <row r="163" spans="1:15" x14ac:dyDescent="0.3">
      <c r="A163" s="30" t="s">
        <v>657</v>
      </c>
      <c r="B163" s="30" t="s">
        <v>380</v>
      </c>
      <c r="C163" t="s">
        <v>341</v>
      </c>
      <c r="D163" s="63">
        <v>46014</v>
      </c>
      <c r="E163" s="30" t="s">
        <v>31</v>
      </c>
      <c r="F163" s="30" t="s">
        <v>203</v>
      </c>
      <c r="G163" s="30" t="s">
        <v>13</v>
      </c>
      <c r="H163">
        <v>2025</v>
      </c>
      <c r="I163" s="30" t="s">
        <v>514</v>
      </c>
      <c r="J163" s="30" t="s">
        <v>640</v>
      </c>
      <c r="K163" s="30" t="s">
        <v>292</v>
      </c>
      <c r="L163" s="31">
        <f>_xlfn.XLOOKUP(K163, Projects!$A:$A, Projects!$D:$D)</f>
        <v>45915</v>
      </c>
      <c r="M163" s="31">
        <f>_xlfn.XLOOKUP(K163, Projects!$A:$A, Projects!$F:$F)</f>
        <v>46022</v>
      </c>
      <c r="N163" s="30">
        <f t="shared" si="4"/>
        <v>2</v>
      </c>
      <c r="O163" s="30" t="str">
        <f t="shared" si="5"/>
        <v>OK</v>
      </c>
    </row>
    <row r="164" spans="1:15" x14ac:dyDescent="0.3">
      <c r="A164" s="30" t="s">
        <v>660</v>
      </c>
      <c r="B164" s="30" t="s">
        <v>387</v>
      </c>
      <c r="C164" t="s">
        <v>287</v>
      </c>
      <c r="D164" s="63">
        <v>44076</v>
      </c>
      <c r="E164" s="30" t="s">
        <v>42</v>
      </c>
      <c r="F164" s="30" t="s">
        <v>203</v>
      </c>
      <c r="G164" s="30" t="s">
        <v>13</v>
      </c>
      <c r="H164">
        <v>2020</v>
      </c>
      <c r="I164" s="30" t="s">
        <v>516</v>
      </c>
      <c r="J164" s="30" t="s">
        <v>526</v>
      </c>
      <c r="K164" s="30" t="s">
        <v>301</v>
      </c>
      <c r="L164" s="31">
        <f>_xlfn.XLOOKUP(K164, Projects!$A:$A, Projects!$D:$D)</f>
        <v>45915</v>
      </c>
      <c r="M164" s="31">
        <f>_xlfn.XLOOKUP(K164, Projects!$A:$A, Projects!$F:$F)</f>
        <v>46387</v>
      </c>
      <c r="N164" s="30">
        <f t="shared" si="4"/>
        <v>2</v>
      </c>
      <c r="O164" s="30" t="str">
        <f t="shared" si="5"/>
        <v>OK</v>
      </c>
    </row>
    <row r="165" spans="1:15" x14ac:dyDescent="0.3">
      <c r="A165" s="30" t="s">
        <v>590</v>
      </c>
      <c r="B165" s="30" t="s">
        <v>179</v>
      </c>
      <c r="C165">
        <v>43617</v>
      </c>
      <c r="D165" s="63">
        <v>43617</v>
      </c>
      <c r="E165" s="30" t="s">
        <v>54</v>
      </c>
      <c r="F165" s="30" t="s">
        <v>12</v>
      </c>
      <c r="G165" s="30" t="s">
        <v>13</v>
      </c>
      <c r="H165">
        <v>2019</v>
      </c>
      <c r="I165" s="30" t="s">
        <v>515</v>
      </c>
      <c r="J165" s="30" t="s">
        <v>591</v>
      </c>
      <c r="K165" s="30" t="s">
        <v>180</v>
      </c>
      <c r="L165" s="31">
        <f>_xlfn.XLOOKUP(K165, Projects!$A:$A, Projects!$D:$D)</f>
        <v>45922</v>
      </c>
      <c r="M165" s="31">
        <f>_xlfn.XLOOKUP(K165, Projects!$A:$A, Projects!$F:$F)</f>
        <v>45996</v>
      </c>
      <c r="N165" s="30">
        <f t="shared" si="4"/>
        <v>2</v>
      </c>
      <c r="O165" s="30" t="str">
        <f t="shared" si="5"/>
        <v>OK</v>
      </c>
    </row>
    <row r="166" spans="1:15" x14ac:dyDescent="0.3">
      <c r="A166" s="30" t="s">
        <v>602</v>
      </c>
      <c r="B166" s="30" t="s">
        <v>217</v>
      </c>
      <c r="C166">
        <v>43125</v>
      </c>
      <c r="D166" s="63">
        <v>43125</v>
      </c>
      <c r="E166" s="30" t="s">
        <v>170</v>
      </c>
      <c r="F166" s="30" t="s">
        <v>196</v>
      </c>
      <c r="G166" s="30" t="s">
        <v>13</v>
      </c>
      <c r="H166">
        <v>2018</v>
      </c>
      <c r="I166" s="30" t="s">
        <v>513</v>
      </c>
      <c r="J166" s="30" t="s">
        <v>576</v>
      </c>
      <c r="K166" s="30" t="s">
        <v>180</v>
      </c>
      <c r="L166" s="31">
        <f>_xlfn.XLOOKUP(K166, Projects!$A:$A, Projects!$D:$D)</f>
        <v>45922</v>
      </c>
      <c r="M166" s="31">
        <f>_xlfn.XLOOKUP(K166, Projects!$A:$A, Projects!$F:$F)</f>
        <v>45996</v>
      </c>
      <c r="N166" s="30">
        <f t="shared" si="4"/>
        <v>3</v>
      </c>
      <c r="O166" s="30" t="str">
        <f t="shared" si="5"/>
        <v>Overallocated</v>
      </c>
    </row>
    <row r="167" spans="1:15" x14ac:dyDescent="0.3">
      <c r="A167" s="30" t="s">
        <v>614</v>
      </c>
      <c r="B167" s="30" t="s">
        <v>253</v>
      </c>
      <c r="C167">
        <v>43437</v>
      </c>
      <c r="D167" s="63">
        <v>43437</v>
      </c>
      <c r="E167" s="30" t="s">
        <v>31</v>
      </c>
      <c r="F167" s="30" t="s">
        <v>189</v>
      </c>
      <c r="G167" s="30" t="s">
        <v>13</v>
      </c>
      <c r="H167">
        <v>2018</v>
      </c>
      <c r="I167" s="30" t="s">
        <v>514</v>
      </c>
      <c r="J167" s="30" t="s">
        <v>532</v>
      </c>
      <c r="K167" s="30" t="s">
        <v>254</v>
      </c>
      <c r="L167" s="31">
        <f>_xlfn.XLOOKUP(K167, Projects!$A:$A, Projects!$D:$D)</f>
        <v>45922</v>
      </c>
      <c r="M167" s="31">
        <f>_xlfn.XLOOKUP(K167, Projects!$A:$A, Projects!$F:$F)</f>
        <v>46069</v>
      </c>
      <c r="N167" s="30">
        <f t="shared" si="4"/>
        <v>2</v>
      </c>
      <c r="O167" s="30" t="str">
        <f t="shared" si="5"/>
        <v>OK</v>
      </c>
    </row>
    <row r="168" spans="1:15" x14ac:dyDescent="0.3">
      <c r="A168" s="30" t="s">
        <v>626</v>
      </c>
      <c r="B168" s="30" t="s">
        <v>294</v>
      </c>
      <c r="C168">
        <v>42713</v>
      </c>
      <c r="D168" s="63">
        <v>42713</v>
      </c>
      <c r="E168" s="30" t="s">
        <v>170</v>
      </c>
      <c r="F168" s="30" t="s">
        <v>189</v>
      </c>
      <c r="G168" s="30" t="s">
        <v>13</v>
      </c>
      <c r="H168">
        <v>2016</v>
      </c>
      <c r="I168" s="30" t="s">
        <v>514</v>
      </c>
      <c r="J168" s="30" t="s">
        <v>547</v>
      </c>
      <c r="K168" s="30" t="s">
        <v>254</v>
      </c>
      <c r="L168" s="31">
        <f>_xlfn.XLOOKUP(K168, Projects!$A:$A, Projects!$D:$D)</f>
        <v>45922</v>
      </c>
      <c r="M168" s="31">
        <f>_xlfn.XLOOKUP(K168, Projects!$A:$A, Projects!$F:$F)</f>
        <v>46069</v>
      </c>
      <c r="N168" s="30">
        <f t="shared" si="4"/>
        <v>3</v>
      </c>
      <c r="O168" s="30" t="str">
        <f t="shared" si="5"/>
        <v>Overallocated</v>
      </c>
    </row>
    <row r="169" spans="1:15" x14ac:dyDescent="0.3">
      <c r="A169" s="30" t="s">
        <v>355</v>
      </c>
      <c r="B169" s="30" t="s">
        <v>356</v>
      </c>
      <c r="C169">
        <v>45281</v>
      </c>
      <c r="D169" s="63">
        <v>45281</v>
      </c>
      <c r="E169" s="30" t="s">
        <v>24</v>
      </c>
      <c r="F169" s="30" t="s">
        <v>12</v>
      </c>
      <c r="G169" s="30" t="s">
        <v>13</v>
      </c>
      <c r="H169">
        <v>2023</v>
      </c>
      <c r="I169" s="30" t="s">
        <v>514</v>
      </c>
      <c r="J169" s="30" t="s">
        <v>648</v>
      </c>
      <c r="K169" s="30" t="s">
        <v>180</v>
      </c>
      <c r="L169" s="31">
        <f>_xlfn.XLOOKUP(K169, Projects!$A:$A, Projects!$D:$D)</f>
        <v>45922</v>
      </c>
      <c r="M169" s="31">
        <f>_xlfn.XLOOKUP(K169, Projects!$A:$A, Projects!$F:$F)</f>
        <v>45996</v>
      </c>
      <c r="N169" s="30">
        <f t="shared" si="4"/>
        <v>2</v>
      </c>
      <c r="O169" s="30" t="str">
        <f t="shared" si="5"/>
        <v>OK</v>
      </c>
    </row>
    <row r="170" spans="1:15" x14ac:dyDescent="0.3">
      <c r="A170" s="30" t="s">
        <v>554</v>
      </c>
      <c r="B170" s="30" t="s">
        <v>98</v>
      </c>
      <c r="C170" t="s">
        <v>99</v>
      </c>
      <c r="D170" s="63">
        <v>43193</v>
      </c>
      <c r="E170" s="30" t="s">
        <v>31</v>
      </c>
      <c r="F170" s="30" t="s">
        <v>25</v>
      </c>
      <c r="G170" s="30" t="s">
        <v>13</v>
      </c>
      <c r="H170">
        <v>2018</v>
      </c>
      <c r="I170" s="30" t="s">
        <v>515</v>
      </c>
      <c r="J170" s="30" t="s">
        <v>555</v>
      </c>
      <c r="K170" s="30" t="s">
        <v>101</v>
      </c>
      <c r="L170" s="31">
        <f>_xlfn.XLOOKUP(K170, Projects!$A:$A, Projects!$D:$D)</f>
        <v>45927</v>
      </c>
      <c r="M170" s="31">
        <f>_xlfn.XLOOKUP(K170, Projects!$A:$A, Projects!$F:$F)</f>
        <v>46387</v>
      </c>
      <c r="N170" s="30">
        <f t="shared" si="4"/>
        <v>2</v>
      </c>
      <c r="O170" s="30" t="str">
        <f t="shared" si="5"/>
        <v>OK</v>
      </c>
    </row>
    <row r="171" spans="1:15" x14ac:dyDescent="0.3">
      <c r="A171" s="30" t="s">
        <v>572</v>
      </c>
      <c r="B171" s="30" t="s">
        <v>137</v>
      </c>
      <c r="C171">
        <v>43964</v>
      </c>
      <c r="D171" s="63">
        <v>43964</v>
      </c>
      <c r="E171" s="30" t="s">
        <v>54</v>
      </c>
      <c r="F171" s="30" t="s">
        <v>25</v>
      </c>
      <c r="G171" s="30" t="s">
        <v>55</v>
      </c>
      <c r="H171">
        <v>2020</v>
      </c>
      <c r="I171" s="30" t="s">
        <v>515</v>
      </c>
      <c r="J171" s="30" t="s">
        <v>573</v>
      </c>
      <c r="K171" s="30" t="s">
        <v>101</v>
      </c>
      <c r="L171" s="31">
        <f>_xlfn.XLOOKUP(K171, Projects!$A:$A, Projects!$D:$D)</f>
        <v>45927</v>
      </c>
      <c r="M171" s="31">
        <f>_xlfn.XLOOKUP(K171, Projects!$A:$A, Projects!$F:$F)</f>
        <v>46387</v>
      </c>
      <c r="N171" s="30">
        <f t="shared" si="4"/>
        <v>2</v>
      </c>
      <c r="O171" s="30" t="str">
        <f t="shared" si="5"/>
        <v>OK</v>
      </c>
    </row>
    <row r="172" spans="1:15" x14ac:dyDescent="0.3">
      <c r="A172" s="30" t="s">
        <v>222</v>
      </c>
      <c r="B172" s="30" t="s">
        <v>223</v>
      </c>
      <c r="C172">
        <v>42981</v>
      </c>
      <c r="D172" s="63">
        <v>42981</v>
      </c>
      <c r="E172" s="30" t="s">
        <v>31</v>
      </c>
      <c r="F172" s="30" t="s">
        <v>203</v>
      </c>
      <c r="G172" s="30" t="s">
        <v>13</v>
      </c>
      <c r="H172">
        <v>2017</v>
      </c>
      <c r="I172" s="30" t="s">
        <v>516</v>
      </c>
      <c r="J172" s="30" t="s">
        <v>604</v>
      </c>
      <c r="K172" s="30" t="s">
        <v>101</v>
      </c>
      <c r="L172" s="31">
        <f>_xlfn.XLOOKUP(K172, Projects!$A:$A, Projects!$D:$D)</f>
        <v>45927</v>
      </c>
      <c r="M172" s="31">
        <f>_xlfn.XLOOKUP(K172, Projects!$A:$A, Projects!$F:$F)</f>
        <v>46387</v>
      </c>
      <c r="N172" s="30">
        <f t="shared" si="4"/>
        <v>2</v>
      </c>
      <c r="O172" s="30" t="str">
        <f t="shared" si="5"/>
        <v>OK</v>
      </c>
    </row>
    <row r="173" spans="1:15" x14ac:dyDescent="0.3">
      <c r="A173" s="30" t="s">
        <v>527</v>
      </c>
      <c r="B173" s="30" t="s">
        <v>29</v>
      </c>
      <c r="C173" t="s">
        <v>30</v>
      </c>
      <c r="D173" s="63">
        <v>43539</v>
      </c>
      <c r="E173" s="30" t="s">
        <v>31</v>
      </c>
      <c r="F173" s="30" t="s">
        <v>19</v>
      </c>
      <c r="G173" s="30" t="s">
        <v>13</v>
      </c>
      <c r="H173">
        <v>2019</v>
      </c>
      <c r="I173" s="30" t="s">
        <v>513</v>
      </c>
      <c r="J173" s="30" t="s">
        <v>528</v>
      </c>
      <c r="K173" s="30" t="s">
        <v>32</v>
      </c>
      <c r="L173" s="31">
        <f>_xlfn.XLOOKUP(K173, Projects!$A:$A, Projects!$D:$D)</f>
        <v>45929</v>
      </c>
      <c r="M173" s="31">
        <f>_xlfn.XLOOKUP(K173, Projects!$A:$A, Projects!$F:$F)</f>
        <v>46387</v>
      </c>
      <c r="N173" s="30">
        <f t="shared" si="4"/>
        <v>2</v>
      </c>
      <c r="O173" s="30" t="str">
        <f t="shared" si="5"/>
        <v>OK</v>
      </c>
    </row>
    <row r="174" spans="1:15" x14ac:dyDescent="0.3">
      <c r="A174" s="30" t="s">
        <v>572</v>
      </c>
      <c r="B174" s="30" t="s">
        <v>137</v>
      </c>
      <c r="C174">
        <v>43964</v>
      </c>
      <c r="D174" s="63">
        <v>43964</v>
      </c>
      <c r="E174" s="30" t="s">
        <v>54</v>
      </c>
      <c r="F174" s="30" t="s">
        <v>25</v>
      </c>
      <c r="G174" s="30" t="s">
        <v>55</v>
      </c>
      <c r="H174">
        <v>2020</v>
      </c>
      <c r="I174" s="30" t="s">
        <v>515</v>
      </c>
      <c r="J174" s="30" t="s">
        <v>573</v>
      </c>
      <c r="K174" s="30" t="s">
        <v>138</v>
      </c>
      <c r="L174" s="31">
        <f>_xlfn.XLOOKUP(K174, Projects!$A:$A, Projects!$D:$D)</f>
        <v>45929</v>
      </c>
      <c r="M174" s="31">
        <f>_xlfn.XLOOKUP(K174, Projects!$A:$A, Projects!$F:$F)</f>
        <v>46387</v>
      </c>
      <c r="N174" s="30">
        <f t="shared" si="4"/>
        <v>2</v>
      </c>
      <c r="O174" s="30" t="str">
        <f t="shared" si="5"/>
        <v>OK</v>
      </c>
    </row>
    <row r="175" spans="1:15" x14ac:dyDescent="0.3">
      <c r="A175" s="30" t="s">
        <v>578</v>
      </c>
      <c r="B175" s="30" t="s">
        <v>150</v>
      </c>
      <c r="C175">
        <v>44585</v>
      </c>
      <c r="D175" s="63">
        <v>44585</v>
      </c>
      <c r="E175" s="30" t="s">
        <v>54</v>
      </c>
      <c r="F175" s="30" t="s">
        <v>19</v>
      </c>
      <c r="G175" s="30" t="s">
        <v>55</v>
      </c>
      <c r="H175">
        <v>2022</v>
      </c>
      <c r="I175" s="30" t="s">
        <v>513</v>
      </c>
      <c r="J175" s="30" t="s">
        <v>523</v>
      </c>
      <c r="K175" s="30" t="s">
        <v>32</v>
      </c>
      <c r="L175" s="31">
        <f>_xlfn.XLOOKUP(K175, Projects!$A:$A, Projects!$D:$D)</f>
        <v>45929</v>
      </c>
      <c r="M175" s="31">
        <f>_xlfn.XLOOKUP(K175, Projects!$A:$A, Projects!$F:$F)</f>
        <v>46387</v>
      </c>
      <c r="N175" s="30">
        <f t="shared" si="4"/>
        <v>1</v>
      </c>
      <c r="O175" s="30" t="str">
        <f t="shared" si="5"/>
        <v>OK</v>
      </c>
    </row>
    <row r="176" spans="1:15" x14ac:dyDescent="0.3">
      <c r="A176" s="30" t="s">
        <v>618</v>
      </c>
      <c r="B176" s="30" t="s">
        <v>269</v>
      </c>
      <c r="C176">
        <v>43113</v>
      </c>
      <c r="D176" s="63">
        <v>43113</v>
      </c>
      <c r="E176" s="30" t="s">
        <v>170</v>
      </c>
      <c r="F176" s="30" t="s">
        <v>203</v>
      </c>
      <c r="G176" s="30" t="s">
        <v>13</v>
      </c>
      <c r="H176">
        <v>2018</v>
      </c>
      <c r="I176" s="30" t="s">
        <v>513</v>
      </c>
      <c r="J176" s="30" t="s">
        <v>576</v>
      </c>
      <c r="K176" s="30" t="s">
        <v>32</v>
      </c>
      <c r="L176" s="31">
        <f>_xlfn.XLOOKUP(K176, Projects!$A:$A, Projects!$D:$D)</f>
        <v>45929</v>
      </c>
      <c r="M176" s="31">
        <f>_xlfn.XLOOKUP(K176, Projects!$A:$A, Projects!$F:$F)</f>
        <v>46387</v>
      </c>
      <c r="N176" s="30">
        <f t="shared" si="4"/>
        <v>1</v>
      </c>
      <c r="O176" s="30" t="str">
        <f t="shared" si="5"/>
        <v>OK</v>
      </c>
    </row>
    <row r="177" spans="1:15" x14ac:dyDescent="0.3">
      <c r="A177" s="30" t="s">
        <v>645</v>
      </c>
      <c r="B177" s="30" t="s">
        <v>350</v>
      </c>
      <c r="D177" s="63"/>
      <c r="E177" s="30" t="s">
        <v>42</v>
      </c>
      <c r="F177" s="30" t="s">
        <v>25</v>
      </c>
      <c r="G177" s="30" t="s">
        <v>13</v>
      </c>
      <c r="H177" t="s">
        <v>511</v>
      </c>
      <c r="I177" s="30" t="s">
        <v>511</v>
      </c>
      <c r="J177" s="30" t="s">
        <v>511</v>
      </c>
      <c r="K177" s="30" t="s">
        <v>138</v>
      </c>
      <c r="L177" s="31">
        <f>_xlfn.XLOOKUP(K177, Projects!$A:$A, Projects!$D:$D)</f>
        <v>45929</v>
      </c>
      <c r="M177" s="31">
        <f>_xlfn.XLOOKUP(K177, Projects!$A:$A, Projects!$F:$F)</f>
        <v>46387</v>
      </c>
      <c r="N177" s="30">
        <f t="shared" si="4"/>
        <v>2</v>
      </c>
      <c r="O177" s="30" t="str">
        <f t="shared" si="5"/>
        <v>OK</v>
      </c>
    </row>
    <row r="178" spans="1:15" x14ac:dyDescent="0.3">
      <c r="A178" s="30" t="s">
        <v>653</v>
      </c>
      <c r="B178" s="30" t="s">
        <v>370</v>
      </c>
      <c r="C178">
        <v>43865</v>
      </c>
      <c r="D178" s="63">
        <v>43865</v>
      </c>
      <c r="E178" s="30" t="s">
        <v>54</v>
      </c>
      <c r="F178" s="30" t="s">
        <v>12</v>
      </c>
      <c r="G178" s="30" t="s">
        <v>55</v>
      </c>
      <c r="H178">
        <v>2020</v>
      </c>
      <c r="I178" s="30" t="s">
        <v>513</v>
      </c>
      <c r="J178" s="30" t="s">
        <v>546</v>
      </c>
      <c r="K178" s="30" t="s">
        <v>371</v>
      </c>
      <c r="L178" s="31">
        <f>_xlfn.XLOOKUP(K178, Projects!$A:$A, Projects!$D:$D)</f>
        <v>45929</v>
      </c>
      <c r="M178" s="31">
        <f>_xlfn.XLOOKUP(K178, Projects!$A:$A, Projects!$F:$F)</f>
        <v>46310</v>
      </c>
      <c r="N178" s="30">
        <f t="shared" si="4"/>
        <v>1</v>
      </c>
      <c r="O178" s="30" t="str">
        <f t="shared" si="5"/>
        <v>OK</v>
      </c>
    </row>
    <row r="179" spans="1:15" x14ac:dyDescent="0.3">
      <c r="A179" s="30" t="s">
        <v>658</v>
      </c>
      <c r="B179" s="30" t="s">
        <v>382</v>
      </c>
      <c r="C179" t="s">
        <v>345</v>
      </c>
      <c r="D179" s="63">
        <v>46022</v>
      </c>
      <c r="E179" s="30" t="s">
        <v>31</v>
      </c>
      <c r="F179" s="30" t="s">
        <v>203</v>
      </c>
      <c r="G179" s="30" t="s">
        <v>114</v>
      </c>
      <c r="H179">
        <v>2025</v>
      </c>
      <c r="I179" s="30" t="s">
        <v>514</v>
      </c>
      <c r="J179" s="30" t="s">
        <v>640</v>
      </c>
      <c r="K179" s="30" t="s">
        <v>371</v>
      </c>
      <c r="L179" s="31">
        <f>_xlfn.XLOOKUP(K179, Projects!$A:$A, Projects!$D:$D)</f>
        <v>45929</v>
      </c>
      <c r="M179" s="31">
        <f>_xlfn.XLOOKUP(K179, Projects!$A:$A, Projects!$F:$F)</f>
        <v>46310</v>
      </c>
      <c r="N179" s="30">
        <f t="shared" si="4"/>
        <v>2</v>
      </c>
      <c r="O179" s="30" t="str">
        <f t="shared" si="5"/>
        <v>OK</v>
      </c>
    </row>
    <row r="180" spans="1:15" x14ac:dyDescent="0.3">
      <c r="A180" s="30" t="s">
        <v>662</v>
      </c>
      <c r="B180" s="30" t="s">
        <v>393</v>
      </c>
      <c r="C180">
        <v>42801</v>
      </c>
      <c r="D180" s="63">
        <v>42801</v>
      </c>
      <c r="E180" s="30" t="s">
        <v>54</v>
      </c>
      <c r="F180" s="30" t="s">
        <v>208</v>
      </c>
      <c r="G180" s="30" t="s">
        <v>13</v>
      </c>
      <c r="H180">
        <v>2017</v>
      </c>
      <c r="I180" s="30" t="s">
        <v>513</v>
      </c>
      <c r="J180" s="30" t="s">
        <v>544</v>
      </c>
      <c r="K180" s="30" t="s">
        <v>138</v>
      </c>
      <c r="L180" s="31">
        <f>_xlfn.XLOOKUP(K180, Projects!$A:$A, Projects!$D:$D)</f>
        <v>45929</v>
      </c>
      <c r="M180" s="31">
        <f>_xlfn.XLOOKUP(K180, Projects!$A:$A, Projects!$F:$F)</f>
        <v>46387</v>
      </c>
      <c r="N180" s="30">
        <f t="shared" si="4"/>
        <v>1</v>
      </c>
      <c r="O180" s="30" t="str">
        <f t="shared" si="5"/>
        <v>OK</v>
      </c>
    </row>
    <row r="181" spans="1:15" x14ac:dyDescent="0.3">
      <c r="A181" s="30" t="s">
        <v>535</v>
      </c>
      <c r="B181" s="30" t="s">
        <v>48</v>
      </c>
      <c r="C181" t="s">
        <v>49</v>
      </c>
      <c r="D181" s="63">
        <v>44020</v>
      </c>
      <c r="E181" s="30" t="s">
        <v>31</v>
      </c>
      <c r="F181" s="30" t="s">
        <v>12</v>
      </c>
      <c r="G181" s="30" t="s">
        <v>13</v>
      </c>
      <c r="H181">
        <v>2020</v>
      </c>
      <c r="I181" s="30" t="s">
        <v>516</v>
      </c>
      <c r="J181" s="30" t="s">
        <v>526</v>
      </c>
      <c r="K181" s="30" t="s">
        <v>51</v>
      </c>
      <c r="L181" s="31">
        <f>_xlfn.XLOOKUP(K181, Projects!$A:$A, Projects!$D:$D)</f>
        <v>45931</v>
      </c>
      <c r="M181" s="31">
        <f>_xlfn.XLOOKUP(K181, Projects!$A:$A, Projects!$F:$F)</f>
        <v>46022</v>
      </c>
      <c r="N181" s="30">
        <f t="shared" si="4"/>
        <v>2</v>
      </c>
      <c r="O181" s="30" t="str">
        <f t="shared" si="5"/>
        <v>OK</v>
      </c>
    </row>
    <row r="182" spans="1:15" x14ac:dyDescent="0.3">
      <c r="A182" s="30" t="s">
        <v>550</v>
      </c>
      <c r="B182" s="30" t="s">
        <v>86</v>
      </c>
      <c r="C182">
        <v>44621</v>
      </c>
      <c r="D182" s="63">
        <v>44621</v>
      </c>
      <c r="E182" s="30" t="s">
        <v>54</v>
      </c>
      <c r="F182" s="30" t="s">
        <v>12</v>
      </c>
      <c r="G182" s="30" t="s">
        <v>55</v>
      </c>
      <c r="H182">
        <v>2022</v>
      </c>
      <c r="I182" s="30" t="s">
        <v>513</v>
      </c>
      <c r="J182" s="30" t="s">
        <v>523</v>
      </c>
      <c r="K182" s="30" t="s">
        <v>87</v>
      </c>
      <c r="L182" s="31">
        <f>_xlfn.XLOOKUP(K182, Projects!$A:$A, Projects!$D:$D)</f>
        <v>45931</v>
      </c>
      <c r="M182" s="31">
        <f>_xlfn.XLOOKUP(K182, Projects!$A:$A, Projects!$F:$F)</f>
        <v>46023</v>
      </c>
      <c r="N182" s="30">
        <f t="shared" si="4"/>
        <v>1</v>
      </c>
      <c r="O182" s="30" t="str">
        <f t="shared" si="5"/>
        <v>OK</v>
      </c>
    </row>
    <row r="183" spans="1:15" x14ac:dyDescent="0.3">
      <c r="A183" s="30" t="s">
        <v>551</v>
      </c>
      <c r="B183" s="30" t="s">
        <v>89</v>
      </c>
      <c r="C183">
        <v>44123</v>
      </c>
      <c r="D183" s="63">
        <v>44123</v>
      </c>
      <c r="E183" s="30" t="s">
        <v>31</v>
      </c>
      <c r="F183" s="30" t="s">
        <v>25</v>
      </c>
      <c r="G183" s="30" t="s">
        <v>13</v>
      </c>
      <c r="H183">
        <v>2020</v>
      </c>
      <c r="I183" s="30" t="s">
        <v>514</v>
      </c>
      <c r="J183" s="30" t="s">
        <v>552</v>
      </c>
      <c r="K183" s="30" t="s">
        <v>51</v>
      </c>
      <c r="L183" s="31">
        <f>_xlfn.XLOOKUP(K183, Projects!$A:$A, Projects!$D:$D)</f>
        <v>45931</v>
      </c>
      <c r="M183" s="31">
        <f>_xlfn.XLOOKUP(K183, Projects!$A:$A, Projects!$F:$F)</f>
        <v>46022</v>
      </c>
      <c r="N183" s="30">
        <f t="shared" si="4"/>
        <v>2</v>
      </c>
      <c r="O183" s="30" t="str">
        <f t="shared" si="5"/>
        <v>OK</v>
      </c>
    </row>
    <row r="184" spans="1:15" x14ac:dyDescent="0.3">
      <c r="A184" s="30" t="s">
        <v>592</v>
      </c>
      <c r="B184" s="30" t="s">
        <v>183</v>
      </c>
      <c r="C184">
        <v>42049</v>
      </c>
      <c r="D184" s="63">
        <v>42049</v>
      </c>
      <c r="E184" s="30" t="s">
        <v>42</v>
      </c>
      <c r="F184" s="30" t="s">
        <v>25</v>
      </c>
      <c r="G184" s="30" t="s">
        <v>114</v>
      </c>
      <c r="H184">
        <v>2015</v>
      </c>
      <c r="I184" s="30" t="s">
        <v>513</v>
      </c>
      <c r="J184" s="30" t="s">
        <v>593</v>
      </c>
      <c r="K184" s="30" t="s">
        <v>51</v>
      </c>
      <c r="L184" s="31">
        <f>_xlfn.XLOOKUP(K184, Projects!$A:$A, Projects!$D:$D)</f>
        <v>45931</v>
      </c>
      <c r="M184" s="31">
        <f>_xlfn.XLOOKUP(K184, Projects!$A:$A, Projects!$F:$F)</f>
        <v>46022</v>
      </c>
      <c r="N184" s="30">
        <f t="shared" si="4"/>
        <v>2</v>
      </c>
      <c r="O184" s="30" t="str">
        <f t="shared" si="5"/>
        <v>OK</v>
      </c>
    </row>
    <row r="185" spans="1:15" x14ac:dyDescent="0.3">
      <c r="A185" s="30" t="s">
        <v>621</v>
      </c>
      <c r="B185" s="30" t="s">
        <v>277</v>
      </c>
      <c r="C185">
        <v>43788</v>
      </c>
      <c r="D185" s="63">
        <v>43788</v>
      </c>
      <c r="E185" s="30" t="s">
        <v>31</v>
      </c>
      <c r="F185" s="30" t="s">
        <v>189</v>
      </c>
      <c r="G185" s="30" t="s">
        <v>13</v>
      </c>
      <c r="H185">
        <v>2019</v>
      </c>
      <c r="I185" s="30" t="s">
        <v>514</v>
      </c>
      <c r="J185" s="30" t="s">
        <v>562</v>
      </c>
      <c r="K185" s="30" t="s">
        <v>87</v>
      </c>
      <c r="L185" s="31">
        <f>_xlfn.XLOOKUP(K185, Projects!$A:$A, Projects!$D:$D)</f>
        <v>45931</v>
      </c>
      <c r="M185" s="31">
        <f>_xlfn.XLOOKUP(K185, Projects!$A:$A, Projects!$F:$F)</f>
        <v>46023</v>
      </c>
      <c r="N185" s="30">
        <f t="shared" si="4"/>
        <v>2</v>
      </c>
      <c r="O185" s="30" t="str">
        <f t="shared" si="5"/>
        <v>OK</v>
      </c>
    </row>
    <row r="186" spans="1:15" x14ac:dyDescent="0.3">
      <c r="A186" s="30" t="s">
        <v>249</v>
      </c>
      <c r="B186" s="30" t="s">
        <v>250</v>
      </c>
      <c r="C186">
        <v>42627</v>
      </c>
      <c r="D186" s="63">
        <v>42627</v>
      </c>
      <c r="E186" s="30" t="s">
        <v>24</v>
      </c>
      <c r="F186" s="30" t="s">
        <v>203</v>
      </c>
      <c r="G186" s="30" t="s">
        <v>13</v>
      </c>
      <c r="H186">
        <v>2016</v>
      </c>
      <c r="I186" s="30" t="s">
        <v>516</v>
      </c>
      <c r="J186" s="30" t="s">
        <v>613</v>
      </c>
      <c r="K186" s="30" t="s">
        <v>251</v>
      </c>
      <c r="L186" s="31">
        <f>_xlfn.XLOOKUP(K186, Projects!$A:$A, Projects!$D:$D)</f>
        <v>45936</v>
      </c>
      <c r="M186" s="31">
        <f>_xlfn.XLOOKUP(K186, Projects!$A:$A, Projects!$F:$F)</f>
        <v>46038</v>
      </c>
      <c r="N186" s="30">
        <f t="shared" si="4"/>
        <v>2</v>
      </c>
      <c r="O186" s="30" t="str">
        <f t="shared" si="5"/>
        <v>OK</v>
      </c>
    </row>
    <row r="187" spans="1:15" x14ac:dyDescent="0.3">
      <c r="A187" s="30" t="s">
        <v>636</v>
      </c>
      <c r="B187" s="30" t="s">
        <v>324</v>
      </c>
      <c r="C187">
        <v>43470</v>
      </c>
      <c r="D187" s="63">
        <v>43470</v>
      </c>
      <c r="E187" s="30" t="s">
        <v>54</v>
      </c>
      <c r="F187" s="30" t="s">
        <v>196</v>
      </c>
      <c r="G187" s="30" t="s">
        <v>55</v>
      </c>
      <c r="H187">
        <v>2019</v>
      </c>
      <c r="I187" s="30" t="s">
        <v>513</v>
      </c>
      <c r="J187" s="30" t="s">
        <v>528</v>
      </c>
      <c r="K187" s="30" t="s">
        <v>251</v>
      </c>
      <c r="L187" s="31">
        <f>_xlfn.XLOOKUP(K187, Projects!$A:$A, Projects!$D:$D)</f>
        <v>45936</v>
      </c>
      <c r="M187" s="31">
        <f>_xlfn.XLOOKUP(K187, Projects!$A:$A, Projects!$F:$F)</f>
        <v>46038</v>
      </c>
      <c r="N187" s="30">
        <f t="shared" si="4"/>
        <v>1</v>
      </c>
      <c r="O187" s="30" t="str">
        <f t="shared" si="5"/>
        <v>OK</v>
      </c>
    </row>
    <row r="188" spans="1:15" x14ac:dyDescent="0.3">
      <c r="A188" s="30" t="s">
        <v>637</v>
      </c>
      <c r="B188" s="30" t="s">
        <v>326</v>
      </c>
      <c r="C188">
        <v>42816</v>
      </c>
      <c r="D188" s="63">
        <v>42816</v>
      </c>
      <c r="E188" s="30" t="s">
        <v>170</v>
      </c>
      <c r="F188" s="30" t="s">
        <v>208</v>
      </c>
      <c r="G188" s="30" t="s">
        <v>13</v>
      </c>
      <c r="H188">
        <v>2017</v>
      </c>
      <c r="I188" s="30" t="s">
        <v>513</v>
      </c>
      <c r="J188" s="30" t="s">
        <v>544</v>
      </c>
      <c r="K188" s="30" t="s">
        <v>251</v>
      </c>
      <c r="L188" s="31">
        <f>_xlfn.XLOOKUP(K188, Projects!$A:$A, Projects!$D:$D)</f>
        <v>45936</v>
      </c>
      <c r="M188" s="31">
        <f>_xlfn.XLOOKUP(K188, Projects!$A:$A, Projects!$F:$F)</f>
        <v>46038</v>
      </c>
      <c r="N188" s="30">
        <f t="shared" si="4"/>
        <v>1</v>
      </c>
      <c r="O188" s="30" t="str">
        <f t="shared" si="5"/>
        <v>OK</v>
      </c>
    </row>
    <row r="189" spans="1:15" x14ac:dyDescent="0.3">
      <c r="A189" s="30" t="s">
        <v>569</v>
      </c>
      <c r="B189" s="30" t="s">
        <v>130</v>
      </c>
      <c r="C189">
        <v>43492</v>
      </c>
      <c r="D189" s="63">
        <v>43492</v>
      </c>
      <c r="E189" s="30" t="s">
        <v>36</v>
      </c>
      <c r="F189" s="30" t="s">
        <v>19</v>
      </c>
      <c r="G189" s="30" t="s">
        <v>13</v>
      </c>
      <c r="H189">
        <v>2019</v>
      </c>
      <c r="I189" s="30" t="s">
        <v>513</v>
      </c>
      <c r="J189" s="30" t="s">
        <v>528</v>
      </c>
      <c r="K189" s="30" t="s">
        <v>131</v>
      </c>
      <c r="L189" s="31">
        <f>_xlfn.XLOOKUP(K189, Projects!$A:$A, Projects!$D:$D)</f>
        <v>45945</v>
      </c>
      <c r="M189" s="31">
        <f>_xlfn.XLOOKUP(K189, Projects!$A:$A, Projects!$F:$F)</f>
        <v>46365</v>
      </c>
      <c r="N189" s="30">
        <f t="shared" si="4"/>
        <v>2</v>
      </c>
      <c r="O189" s="30" t="str">
        <f t="shared" si="5"/>
        <v>OK</v>
      </c>
    </row>
    <row r="190" spans="1:15" x14ac:dyDescent="0.3">
      <c r="A190" s="30" t="s">
        <v>646</v>
      </c>
      <c r="B190" s="30" t="s">
        <v>352</v>
      </c>
      <c r="C190">
        <v>42843</v>
      </c>
      <c r="D190" s="63">
        <v>42843</v>
      </c>
      <c r="E190" s="30" t="s">
        <v>11</v>
      </c>
      <c r="F190" s="30" t="s">
        <v>25</v>
      </c>
      <c r="G190" s="30" t="s">
        <v>336</v>
      </c>
      <c r="H190">
        <v>2017</v>
      </c>
      <c r="I190" s="30" t="s">
        <v>515</v>
      </c>
      <c r="J190" s="30" t="s">
        <v>534</v>
      </c>
      <c r="K190" s="30" t="s">
        <v>131</v>
      </c>
      <c r="L190" s="31">
        <f>_xlfn.XLOOKUP(K190, Projects!$A:$A, Projects!$D:$D)</f>
        <v>45945</v>
      </c>
      <c r="M190" s="31">
        <f>_xlfn.XLOOKUP(K190, Projects!$A:$A, Projects!$F:$F)</f>
        <v>46365</v>
      </c>
      <c r="N190" s="30">
        <f t="shared" si="4"/>
        <v>1</v>
      </c>
      <c r="O190" s="30" t="str">
        <f t="shared" si="5"/>
        <v>OK</v>
      </c>
    </row>
    <row r="191" spans="1:15" x14ac:dyDescent="0.3">
      <c r="A191" s="30" t="s">
        <v>652</v>
      </c>
      <c r="B191" s="30" t="s">
        <v>367</v>
      </c>
      <c r="C191">
        <v>43159</v>
      </c>
      <c r="D191" s="63">
        <v>43159</v>
      </c>
      <c r="E191" s="30" t="s">
        <v>24</v>
      </c>
      <c r="F191" s="30" t="s">
        <v>12</v>
      </c>
      <c r="G191" s="30" t="s">
        <v>13</v>
      </c>
      <c r="H191">
        <v>2018</v>
      </c>
      <c r="I191" s="30" t="s">
        <v>513</v>
      </c>
      <c r="J191" s="30" t="s">
        <v>576</v>
      </c>
      <c r="K191" s="30" t="s">
        <v>368</v>
      </c>
      <c r="L191" s="31">
        <f>_xlfn.XLOOKUP(K191, Projects!$A:$A, Projects!$D:$D)</f>
        <v>45950</v>
      </c>
      <c r="M191" s="31">
        <f>_xlfn.XLOOKUP(K191, Projects!$A:$A, Projects!$F:$F)</f>
        <v>46038</v>
      </c>
      <c r="N191" s="30">
        <f t="shared" si="4"/>
        <v>3</v>
      </c>
      <c r="O191" s="30" t="str">
        <f t="shared" si="5"/>
        <v>Overallocated</v>
      </c>
    </row>
    <row r="192" spans="1:15" x14ac:dyDescent="0.3">
      <c r="A192" s="30" t="s">
        <v>663</v>
      </c>
      <c r="B192" s="30" t="s">
        <v>395</v>
      </c>
      <c r="C192">
        <v>44733</v>
      </c>
      <c r="D192" s="63">
        <v>44733</v>
      </c>
      <c r="E192" s="30" t="s">
        <v>31</v>
      </c>
      <c r="F192" s="30" t="s">
        <v>208</v>
      </c>
      <c r="G192" s="30" t="s">
        <v>13</v>
      </c>
      <c r="H192">
        <v>2022</v>
      </c>
      <c r="I192" s="30" t="s">
        <v>515</v>
      </c>
      <c r="J192" s="30" t="s">
        <v>587</v>
      </c>
      <c r="K192" s="30" t="s">
        <v>368</v>
      </c>
      <c r="L192" s="31">
        <f>_xlfn.XLOOKUP(K192, Projects!$A:$A, Projects!$D:$D)</f>
        <v>45950</v>
      </c>
      <c r="M192" s="31">
        <f>_xlfn.XLOOKUP(K192, Projects!$A:$A, Projects!$F:$F)</f>
        <v>46038</v>
      </c>
      <c r="N192" s="30">
        <f t="shared" si="4"/>
        <v>2</v>
      </c>
      <c r="O192" s="30" t="str">
        <f t="shared" si="5"/>
        <v>OK</v>
      </c>
    </row>
    <row r="193" spans="1:15" x14ac:dyDescent="0.3">
      <c r="A193" s="30" t="s">
        <v>599</v>
      </c>
      <c r="B193" s="30" t="s">
        <v>202</v>
      </c>
      <c r="C193">
        <v>43054</v>
      </c>
      <c r="D193" s="63">
        <v>43054</v>
      </c>
      <c r="E193" s="30" t="s">
        <v>24</v>
      </c>
      <c r="F193" s="30" t="s">
        <v>203</v>
      </c>
      <c r="G193" s="30" t="s">
        <v>13</v>
      </c>
      <c r="H193">
        <v>2017</v>
      </c>
      <c r="I193" s="30" t="s">
        <v>514</v>
      </c>
      <c r="J193" s="30" t="s">
        <v>589</v>
      </c>
      <c r="K193" s="30" t="s">
        <v>205</v>
      </c>
      <c r="L193" s="31">
        <f>_xlfn.XLOOKUP(K193, Projects!$A:$A, Projects!$D:$D)</f>
        <v>45963</v>
      </c>
      <c r="M193" s="31">
        <f>_xlfn.XLOOKUP(K193, Projects!$A:$A, Projects!$F:$F)</f>
        <v>46129</v>
      </c>
      <c r="N193" s="30">
        <f t="shared" si="4"/>
        <v>2</v>
      </c>
      <c r="O193" s="30" t="str">
        <f t="shared" si="5"/>
        <v>OK</v>
      </c>
    </row>
    <row r="194" spans="1:15" x14ac:dyDescent="0.3">
      <c r="A194" s="30" t="s">
        <v>606</v>
      </c>
      <c r="B194" s="30" t="s">
        <v>229</v>
      </c>
      <c r="C194">
        <v>42479</v>
      </c>
      <c r="D194" s="63">
        <v>42479</v>
      </c>
      <c r="E194" s="30" t="s">
        <v>24</v>
      </c>
      <c r="F194" s="30" t="s">
        <v>189</v>
      </c>
      <c r="G194" s="30" t="s">
        <v>13</v>
      </c>
      <c r="H194">
        <v>2016</v>
      </c>
      <c r="I194" s="30" t="s">
        <v>515</v>
      </c>
      <c r="J194" s="30" t="s">
        <v>571</v>
      </c>
      <c r="K194" s="30" t="s">
        <v>205</v>
      </c>
      <c r="L194" s="31">
        <f>_xlfn.XLOOKUP(K194, Projects!$A:$A, Projects!$D:$D)</f>
        <v>45963</v>
      </c>
      <c r="M194" s="31">
        <f>_xlfn.XLOOKUP(K194, Projects!$A:$A, Projects!$F:$F)</f>
        <v>46129</v>
      </c>
      <c r="N194" s="30">
        <f t="shared" ref="N194:N230" si="6">COUNTIFS(A:A,A194, L:L,"&lt;="&amp;M194, M:M,"&gt;="&amp;L194)</f>
        <v>3</v>
      </c>
      <c r="O194" s="30" t="str">
        <f t="shared" ref="O194:O257" si="7">IF(N194&gt;2,"Overallocated","OK")</f>
        <v>Overallocated</v>
      </c>
    </row>
    <row r="195" spans="1:15" x14ac:dyDescent="0.3">
      <c r="A195" s="30" t="s">
        <v>615</v>
      </c>
      <c r="B195" s="30" t="s">
        <v>256</v>
      </c>
      <c r="C195">
        <v>43581</v>
      </c>
      <c r="D195" s="63">
        <v>43581</v>
      </c>
      <c r="E195" s="30" t="s">
        <v>170</v>
      </c>
      <c r="F195" s="30" t="s">
        <v>193</v>
      </c>
      <c r="G195" s="30" t="s">
        <v>13</v>
      </c>
      <c r="H195">
        <v>2019</v>
      </c>
      <c r="I195" s="30" t="s">
        <v>515</v>
      </c>
      <c r="J195" s="30" t="s">
        <v>591</v>
      </c>
      <c r="K195" s="30" t="s">
        <v>257</v>
      </c>
      <c r="L195" s="31">
        <f>_xlfn.XLOOKUP(K195, Projects!$A:$A, Projects!$D:$D)</f>
        <v>45981</v>
      </c>
      <c r="M195" s="31">
        <f>_xlfn.XLOOKUP(K195, Projects!$A:$A, Projects!$F:$F)</f>
        <v>46203</v>
      </c>
      <c r="N195" s="30">
        <f t="shared" si="6"/>
        <v>3</v>
      </c>
      <c r="O195" s="30" t="str">
        <f t="shared" si="7"/>
        <v>Overallocated</v>
      </c>
    </row>
    <row r="196" spans="1:15" x14ac:dyDescent="0.3">
      <c r="A196" s="30" t="s">
        <v>631</v>
      </c>
      <c r="B196" s="30" t="s">
        <v>310</v>
      </c>
      <c r="C196">
        <v>43510</v>
      </c>
      <c r="D196" s="63">
        <v>43510</v>
      </c>
      <c r="E196" s="30" t="s">
        <v>31</v>
      </c>
      <c r="F196" s="30" t="s">
        <v>203</v>
      </c>
      <c r="G196" s="30" t="s">
        <v>13</v>
      </c>
      <c r="H196">
        <v>2019</v>
      </c>
      <c r="I196" s="30" t="s">
        <v>513</v>
      </c>
      <c r="J196" s="30" t="s">
        <v>528</v>
      </c>
      <c r="K196" s="30" t="s">
        <v>257</v>
      </c>
      <c r="L196" s="31">
        <f>_xlfn.XLOOKUP(K196, Projects!$A:$A, Projects!$D:$D)</f>
        <v>45981</v>
      </c>
      <c r="M196" s="31">
        <f>_xlfn.XLOOKUP(K196, Projects!$A:$A, Projects!$F:$F)</f>
        <v>46203</v>
      </c>
      <c r="N196" s="30">
        <f t="shared" si="6"/>
        <v>2</v>
      </c>
      <c r="O196" s="30" t="str">
        <f t="shared" si="7"/>
        <v>OK</v>
      </c>
    </row>
    <row r="197" spans="1:15" x14ac:dyDescent="0.3">
      <c r="A197" s="30" t="s">
        <v>659</v>
      </c>
      <c r="B197" s="30" t="s">
        <v>385</v>
      </c>
      <c r="C197">
        <v>42494</v>
      </c>
      <c r="D197" s="63">
        <v>42494</v>
      </c>
      <c r="E197" s="30" t="s">
        <v>54</v>
      </c>
      <c r="F197" s="30" t="s">
        <v>203</v>
      </c>
      <c r="G197" s="30" t="s">
        <v>114</v>
      </c>
      <c r="H197">
        <v>2016</v>
      </c>
      <c r="I197" s="30" t="s">
        <v>515</v>
      </c>
      <c r="J197" s="30" t="s">
        <v>571</v>
      </c>
      <c r="K197" s="30" t="s">
        <v>257</v>
      </c>
      <c r="L197" s="31">
        <f>_xlfn.XLOOKUP(K197, Projects!$A:$A, Projects!$D:$D)</f>
        <v>45981</v>
      </c>
      <c r="M197" s="31">
        <f>_xlfn.XLOOKUP(K197, Projects!$A:$A, Projects!$F:$F)</f>
        <v>46203</v>
      </c>
      <c r="N197" s="30">
        <f t="shared" si="6"/>
        <v>2</v>
      </c>
      <c r="O197" s="30" t="str">
        <f t="shared" si="7"/>
        <v>OK</v>
      </c>
    </row>
    <row r="198" spans="1:15" x14ac:dyDescent="0.3">
      <c r="A198" s="30" t="s">
        <v>649</v>
      </c>
      <c r="B198" s="30" t="s">
        <v>358</v>
      </c>
      <c r="C198" t="s">
        <v>359</v>
      </c>
      <c r="D198" s="63">
        <v>42735</v>
      </c>
      <c r="E198" s="30" t="s">
        <v>11</v>
      </c>
      <c r="F198" s="30" t="s">
        <v>12</v>
      </c>
      <c r="G198" s="30" t="s">
        <v>13</v>
      </c>
      <c r="H198">
        <v>2016</v>
      </c>
      <c r="I198" s="30" t="s">
        <v>514</v>
      </c>
      <c r="J198" s="30" t="s">
        <v>547</v>
      </c>
      <c r="K198" s="30" t="s">
        <v>360</v>
      </c>
      <c r="L198" s="31">
        <f>_xlfn.XLOOKUP(K198, Projects!$A:$A, Projects!$D:$D)</f>
        <v>45988</v>
      </c>
      <c r="M198" s="31">
        <f>_xlfn.XLOOKUP(K198, Projects!$A:$A, Projects!$F:$F)</f>
        <v>46352</v>
      </c>
      <c r="N198" s="30">
        <f t="shared" si="6"/>
        <v>6</v>
      </c>
      <c r="O198" s="30" t="str">
        <f t="shared" si="7"/>
        <v>Overallocated</v>
      </c>
    </row>
    <row r="199" spans="1:15" x14ac:dyDescent="0.3">
      <c r="A199" s="30" t="s">
        <v>649</v>
      </c>
      <c r="B199" s="30" t="s">
        <v>358</v>
      </c>
      <c r="C199">
        <v>42735</v>
      </c>
      <c r="D199" s="63">
        <v>42735</v>
      </c>
      <c r="E199" s="30" t="s">
        <v>11</v>
      </c>
      <c r="F199" s="30" t="s">
        <v>12</v>
      </c>
      <c r="G199" s="30" t="s">
        <v>13</v>
      </c>
      <c r="H199">
        <v>2016</v>
      </c>
      <c r="I199" s="30" t="s">
        <v>514</v>
      </c>
      <c r="J199" s="30" t="s">
        <v>547</v>
      </c>
      <c r="K199" s="30" t="s">
        <v>360</v>
      </c>
      <c r="L199" s="31">
        <f>_xlfn.XLOOKUP(K199, Projects!$A:$A, Projects!$D:$D)</f>
        <v>45988</v>
      </c>
      <c r="M199" s="31">
        <f>_xlfn.XLOOKUP(K199, Projects!$A:$A, Projects!$F:$F)</f>
        <v>46352</v>
      </c>
      <c r="N199" s="30">
        <f t="shared" si="6"/>
        <v>6</v>
      </c>
      <c r="O199" s="30" t="str">
        <f t="shared" si="7"/>
        <v>Overallocated</v>
      </c>
    </row>
    <row r="200" spans="1:15" x14ac:dyDescent="0.3">
      <c r="A200" s="30" t="s">
        <v>279</v>
      </c>
      <c r="B200" s="30" t="s">
        <v>280</v>
      </c>
      <c r="C200">
        <v>42801</v>
      </c>
      <c r="D200" s="63">
        <v>42801</v>
      </c>
      <c r="E200" s="30" t="s">
        <v>31</v>
      </c>
      <c r="F200" s="30" t="s">
        <v>203</v>
      </c>
      <c r="G200" s="30" t="s">
        <v>55</v>
      </c>
      <c r="H200">
        <v>2017</v>
      </c>
      <c r="I200" s="30" t="s">
        <v>513</v>
      </c>
      <c r="J200" s="30" t="s">
        <v>544</v>
      </c>
      <c r="K200" s="30" t="s">
        <v>281</v>
      </c>
      <c r="L200" s="31">
        <f>_xlfn.XLOOKUP(K200, Projects!$A:$A, Projects!$D:$D)</f>
        <v>46023</v>
      </c>
      <c r="M200" s="31">
        <f>_xlfn.XLOOKUP(K200, Projects!$A:$A, Projects!$F:$F)</f>
        <v>46171</v>
      </c>
      <c r="N200" s="30">
        <f t="shared" si="6"/>
        <v>2</v>
      </c>
      <c r="O200" s="30" t="str">
        <f t="shared" si="7"/>
        <v>OK</v>
      </c>
    </row>
    <row r="201" spans="1:15" x14ac:dyDescent="0.3">
      <c r="A201" s="30" t="s">
        <v>661</v>
      </c>
      <c r="B201" s="30" t="s">
        <v>390</v>
      </c>
      <c r="C201">
        <v>43860</v>
      </c>
      <c r="D201" s="63">
        <v>43860</v>
      </c>
      <c r="E201" s="30" t="s">
        <v>391</v>
      </c>
      <c r="F201" s="30" t="s">
        <v>208</v>
      </c>
      <c r="G201" s="30" t="s">
        <v>13</v>
      </c>
      <c r="H201">
        <v>2020</v>
      </c>
      <c r="I201" s="30" t="s">
        <v>513</v>
      </c>
      <c r="J201" s="30" t="s">
        <v>546</v>
      </c>
      <c r="K201" s="30" t="s">
        <v>281</v>
      </c>
      <c r="L201" s="31">
        <f>_xlfn.XLOOKUP(K201, Projects!$A:$A, Projects!$D:$D)</f>
        <v>46023</v>
      </c>
      <c r="M201" s="31">
        <f>_xlfn.XLOOKUP(K201, Projects!$A:$A, Projects!$F:$F)</f>
        <v>46171</v>
      </c>
      <c r="N201" s="30">
        <f t="shared" si="6"/>
        <v>2</v>
      </c>
      <c r="O201" s="30" t="str">
        <f t="shared" si="7"/>
        <v>OK</v>
      </c>
    </row>
    <row r="202" spans="1:15" x14ac:dyDescent="0.3">
      <c r="A202" s="30" t="s">
        <v>553</v>
      </c>
      <c r="B202" s="30" t="s">
        <v>91</v>
      </c>
      <c r="C202">
        <v>43668</v>
      </c>
      <c r="D202" s="63">
        <v>43668</v>
      </c>
      <c r="E202" s="30" t="s">
        <v>36</v>
      </c>
      <c r="F202" s="30" t="s">
        <v>19</v>
      </c>
      <c r="G202" s="30" t="s">
        <v>13</v>
      </c>
      <c r="H202">
        <v>2019</v>
      </c>
      <c r="I202" s="30" t="s">
        <v>516</v>
      </c>
      <c r="J202" s="30" t="s">
        <v>540</v>
      </c>
      <c r="K202" s="30" t="s">
        <v>93</v>
      </c>
      <c r="L202" s="31">
        <f>_xlfn.XLOOKUP(K202, Projects!$A:$A, Projects!$D:$D)</f>
        <v>46028</v>
      </c>
      <c r="M202" s="31">
        <f>_xlfn.XLOOKUP(K202, Projects!$A:$A, Projects!$F:$F)</f>
        <v>46077</v>
      </c>
      <c r="N202" s="30">
        <f t="shared" si="6"/>
        <v>2</v>
      </c>
      <c r="O202" s="30" t="str">
        <f t="shared" si="7"/>
        <v>OK</v>
      </c>
    </row>
    <row r="203" spans="1:15" x14ac:dyDescent="0.3">
      <c r="A203" s="30" t="s">
        <v>565</v>
      </c>
      <c r="B203" s="30" t="s">
        <v>122</v>
      </c>
      <c r="C203">
        <v>43333</v>
      </c>
      <c r="D203" s="63">
        <v>43333</v>
      </c>
      <c r="E203" s="30" t="s">
        <v>24</v>
      </c>
      <c r="F203" s="30" t="s">
        <v>19</v>
      </c>
      <c r="G203" s="30" t="s">
        <v>13</v>
      </c>
      <c r="H203">
        <v>2018</v>
      </c>
      <c r="I203" s="30" t="s">
        <v>516</v>
      </c>
      <c r="J203" s="30" t="s">
        <v>566</v>
      </c>
      <c r="K203" s="30" t="s">
        <v>93</v>
      </c>
      <c r="L203" s="31">
        <f>_xlfn.XLOOKUP(K203, Projects!$A:$A, Projects!$D:$D)</f>
        <v>46028</v>
      </c>
      <c r="M203" s="31">
        <f>_xlfn.XLOOKUP(K203, Projects!$A:$A, Projects!$F:$F)</f>
        <v>46077</v>
      </c>
      <c r="N203" s="30">
        <f t="shared" si="6"/>
        <v>2</v>
      </c>
      <c r="O203" s="30" t="str">
        <f t="shared" si="7"/>
        <v>OK</v>
      </c>
    </row>
    <row r="204" spans="1:15" x14ac:dyDescent="0.3">
      <c r="A204" s="30" t="s">
        <v>319</v>
      </c>
      <c r="B204" s="30" t="s">
        <v>320</v>
      </c>
      <c r="C204">
        <v>43870</v>
      </c>
      <c r="D204" s="63">
        <v>43870</v>
      </c>
      <c r="E204" s="30" t="s">
        <v>31</v>
      </c>
      <c r="F204" s="30" t="s">
        <v>193</v>
      </c>
      <c r="G204" s="30" t="s">
        <v>13</v>
      </c>
      <c r="H204">
        <v>2020</v>
      </c>
      <c r="I204" s="30" t="s">
        <v>513</v>
      </c>
      <c r="J204" s="30" t="s">
        <v>546</v>
      </c>
      <c r="K204" s="30" t="s">
        <v>93</v>
      </c>
      <c r="L204" s="31">
        <f>_xlfn.XLOOKUP(K204, Projects!$A:$A, Projects!$D:$D)</f>
        <v>46028</v>
      </c>
      <c r="M204" s="31">
        <f>_xlfn.XLOOKUP(K204, Projects!$A:$A, Projects!$F:$F)</f>
        <v>46077</v>
      </c>
      <c r="N204" s="30">
        <f t="shared" si="6"/>
        <v>2</v>
      </c>
      <c r="O204" s="30" t="str">
        <f t="shared" si="7"/>
        <v>OK</v>
      </c>
    </row>
    <row r="205" spans="1:15" x14ac:dyDescent="0.3">
      <c r="A205" s="30" t="s">
        <v>16</v>
      </c>
      <c r="B205" s="30" t="s">
        <v>17</v>
      </c>
      <c r="C205">
        <v>44242</v>
      </c>
      <c r="D205" s="63">
        <v>44242</v>
      </c>
      <c r="E205" s="30" t="s">
        <v>18</v>
      </c>
      <c r="F205" s="30" t="s">
        <v>19</v>
      </c>
      <c r="G205" s="30" t="s">
        <v>13</v>
      </c>
      <c r="H205">
        <v>2021</v>
      </c>
      <c r="I205" s="30" t="s">
        <v>513</v>
      </c>
      <c r="J205" s="30" t="s">
        <v>524</v>
      </c>
      <c r="K205" s="30" t="s">
        <v>20</v>
      </c>
      <c r="L205" s="31">
        <f>_xlfn.XLOOKUP(K205, Projects!$A:$A, Projects!$D:$D)</f>
        <v>46030</v>
      </c>
      <c r="M205" s="31">
        <f>_xlfn.XLOOKUP(K205, Projects!$A:$A, Projects!$F:$F)</f>
        <v>46115</v>
      </c>
      <c r="N205" s="30">
        <f t="shared" si="6"/>
        <v>1</v>
      </c>
      <c r="O205" s="30" t="str">
        <f t="shared" si="7"/>
        <v>OK</v>
      </c>
    </row>
    <row r="206" spans="1:15" x14ac:dyDescent="0.3">
      <c r="A206" s="30" t="s">
        <v>630</v>
      </c>
      <c r="B206" s="30" t="s">
        <v>305</v>
      </c>
      <c r="C206">
        <v>44024</v>
      </c>
      <c r="D206" s="63">
        <v>44024</v>
      </c>
      <c r="E206" s="30" t="s">
        <v>54</v>
      </c>
      <c r="F206" s="30" t="s">
        <v>193</v>
      </c>
      <c r="G206" s="30" t="s">
        <v>13</v>
      </c>
      <c r="H206">
        <v>2020</v>
      </c>
      <c r="I206" s="30" t="s">
        <v>516</v>
      </c>
      <c r="J206" s="30" t="s">
        <v>526</v>
      </c>
      <c r="K206" s="30" t="s">
        <v>20</v>
      </c>
      <c r="L206" s="31">
        <f>_xlfn.XLOOKUP(K206, Projects!$A:$A, Projects!$D:$D)</f>
        <v>46030</v>
      </c>
      <c r="M206" s="31">
        <f>_xlfn.XLOOKUP(K206, Projects!$A:$A, Projects!$F:$F)</f>
        <v>46115</v>
      </c>
      <c r="N206" s="30">
        <f t="shared" si="6"/>
        <v>1</v>
      </c>
      <c r="O206" s="30" t="str">
        <f t="shared" si="7"/>
        <v>OK</v>
      </c>
    </row>
    <row r="207" spans="1:15" x14ac:dyDescent="0.3">
      <c r="A207" s="30" t="s">
        <v>539</v>
      </c>
      <c r="B207" s="30" t="s">
        <v>61</v>
      </c>
      <c r="C207">
        <v>43713</v>
      </c>
      <c r="D207" s="63">
        <v>43713</v>
      </c>
      <c r="E207" s="30" t="s">
        <v>31</v>
      </c>
      <c r="F207" s="30" t="s">
        <v>19</v>
      </c>
      <c r="G207" s="30" t="s">
        <v>13</v>
      </c>
      <c r="H207">
        <v>2019</v>
      </c>
      <c r="I207" s="30" t="s">
        <v>516</v>
      </c>
      <c r="J207" s="30" t="s">
        <v>540</v>
      </c>
      <c r="K207" s="30" t="s">
        <v>62</v>
      </c>
      <c r="L207" s="31">
        <f>_xlfn.XLOOKUP(K207, Projects!$A:$A, Projects!$D:$D)</f>
        <v>46034</v>
      </c>
      <c r="M207" s="31">
        <f>_xlfn.XLOOKUP(K207, Projects!$A:$A, Projects!$F:$F)</f>
        <v>46387</v>
      </c>
      <c r="N207" s="30">
        <f t="shared" si="6"/>
        <v>2</v>
      </c>
      <c r="O207" s="30" t="str">
        <f t="shared" si="7"/>
        <v>OK</v>
      </c>
    </row>
    <row r="208" spans="1:15" x14ac:dyDescent="0.3">
      <c r="A208" s="30" t="s">
        <v>319</v>
      </c>
      <c r="B208" s="30" t="s">
        <v>320</v>
      </c>
      <c r="C208">
        <v>43870</v>
      </c>
      <c r="D208" s="63">
        <v>43870</v>
      </c>
      <c r="E208" s="30" t="s">
        <v>31</v>
      </c>
      <c r="F208" s="30" t="s">
        <v>193</v>
      </c>
      <c r="G208" s="30" t="s">
        <v>13</v>
      </c>
      <c r="H208">
        <v>2020</v>
      </c>
      <c r="I208" s="30" t="s">
        <v>513</v>
      </c>
      <c r="J208" s="30" t="s">
        <v>546</v>
      </c>
      <c r="K208" s="30" t="s">
        <v>62</v>
      </c>
      <c r="L208" s="31">
        <f>_xlfn.XLOOKUP(K208, Projects!$A:$A, Projects!$D:$D)</f>
        <v>46034</v>
      </c>
      <c r="M208" s="31">
        <f>_xlfn.XLOOKUP(K208, Projects!$A:$A, Projects!$F:$F)</f>
        <v>46387</v>
      </c>
      <c r="N208" s="30">
        <f t="shared" si="6"/>
        <v>2</v>
      </c>
      <c r="O208" s="30" t="str">
        <f t="shared" si="7"/>
        <v>OK</v>
      </c>
    </row>
    <row r="209" spans="1:15" x14ac:dyDescent="0.3">
      <c r="A209" s="30" t="s">
        <v>660</v>
      </c>
      <c r="B209" s="30" t="s">
        <v>387</v>
      </c>
      <c r="C209" t="s">
        <v>287</v>
      </c>
      <c r="D209" s="63">
        <v>44076</v>
      </c>
      <c r="E209" s="30" t="s">
        <v>42</v>
      </c>
      <c r="F209" s="30" t="s">
        <v>203</v>
      </c>
      <c r="G209" s="30" t="s">
        <v>13</v>
      </c>
      <c r="H209">
        <v>2020</v>
      </c>
      <c r="I209" s="30" t="s">
        <v>516</v>
      </c>
      <c r="J209" s="30" t="s">
        <v>526</v>
      </c>
      <c r="K209" s="30" t="s">
        <v>388</v>
      </c>
      <c r="L209" s="31">
        <f>_xlfn.XLOOKUP(K209, Projects!$A:$A, Projects!$D:$D)</f>
        <v>46049</v>
      </c>
      <c r="M209" s="31">
        <f>_xlfn.XLOOKUP(K209, Projects!$A:$A, Projects!$F:$F)</f>
        <v>46136</v>
      </c>
      <c r="N209" s="30">
        <f t="shared" si="6"/>
        <v>2</v>
      </c>
      <c r="O209" s="30" t="str">
        <f t="shared" si="7"/>
        <v>OK</v>
      </c>
    </row>
    <row r="210" spans="1:15" x14ac:dyDescent="0.3">
      <c r="A210" s="30" t="s">
        <v>661</v>
      </c>
      <c r="B210" s="30" t="s">
        <v>390</v>
      </c>
      <c r="C210">
        <v>43860</v>
      </c>
      <c r="D210" s="63">
        <v>43860</v>
      </c>
      <c r="E210" s="30" t="s">
        <v>391</v>
      </c>
      <c r="F210" s="30" t="s">
        <v>208</v>
      </c>
      <c r="G210" s="30" t="s">
        <v>13</v>
      </c>
      <c r="H210">
        <v>2020</v>
      </c>
      <c r="I210" s="30" t="s">
        <v>513</v>
      </c>
      <c r="J210" s="30" t="s">
        <v>546</v>
      </c>
      <c r="K210" s="30" t="s">
        <v>388</v>
      </c>
      <c r="L210" s="31">
        <f>_xlfn.XLOOKUP(K210, Projects!$A:$A, Projects!$D:$D)</f>
        <v>46049</v>
      </c>
      <c r="M210" s="31">
        <f>_xlfn.XLOOKUP(K210, Projects!$A:$A, Projects!$F:$F)</f>
        <v>46136</v>
      </c>
      <c r="N210" s="30">
        <f t="shared" si="6"/>
        <v>2</v>
      </c>
      <c r="O210" s="30" t="str">
        <f t="shared" si="7"/>
        <v>OK</v>
      </c>
    </row>
    <row r="211" spans="1:15" x14ac:dyDescent="0.3">
      <c r="A211" s="30" t="s">
        <v>529</v>
      </c>
      <c r="B211" s="30" t="s">
        <v>35</v>
      </c>
      <c r="C211">
        <v>45017</v>
      </c>
      <c r="D211" s="63">
        <v>45017</v>
      </c>
      <c r="E211" s="30" t="s">
        <v>36</v>
      </c>
      <c r="F211" s="30" t="s">
        <v>12</v>
      </c>
      <c r="G211" s="30" t="s">
        <v>13</v>
      </c>
      <c r="H211">
        <v>2023</v>
      </c>
      <c r="I211" s="30" t="s">
        <v>515</v>
      </c>
      <c r="J211" s="30" t="s">
        <v>530</v>
      </c>
      <c r="K211" s="30" t="s">
        <v>38</v>
      </c>
      <c r="L211" s="31">
        <v>46069</v>
      </c>
      <c r="M211" s="31">
        <v>46094</v>
      </c>
      <c r="N211" s="30">
        <f t="shared" si="6"/>
        <v>3</v>
      </c>
      <c r="O211" s="30" t="str">
        <f t="shared" si="7"/>
        <v>Overallocated</v>
      </c>
    </row>
    <row r="212" spans="1:15" x14ac:dyDescent="0.3">
      <c r="A212" s="30" t="s">
        <v>536</v>
      </c>
      <c r="B212" s="30" t="s">
        <v>53</v>
      </c>
      <c r="C212">
        <v>44571</v>
      </c>
      <c r="D212" s="63">
        <v>44571</v>
      </c>
      <c r="E212" s="30" t="s">
        <v>54</v>
      </c>
      <c r="F212" s="30" t="s">
        <v>12</v>
      </c>
      <c r="G212" s="30" t="s">
        <v>55</v>
      </c>
      <c r="H212">
        <v>2022</v>
      </c>
      <c r="I212" s="30" t="s">
        <v>513</v>
      </c>
      <c r="J212" s="30" t="s">
        <v>523</v>
      </c>
      <c r="K212" s="30" t="s">
        <v>56</v>
      </c>
      <c r="L212" s="31">
        <f>_xlfn.XLOOKUP(K212, Projects!$A:$A, Projects!$D:$D)</f>
        <v>46069</v>
      </c>
      <c r="M212" s="31">
        <f>_xlfn.XLOOKUP(K212, Projects!$A:$A, Projects!$F:$F)</f>
        <v>46136</v>
      </c>
      <c r="N212" s="30">
        <f t="shared" si="6"/>
        <v>1</v>
      </c>
      <c r="O212" s="30" t="str">
        <f t="shared" si="7"/>
        <v>OK</v>
      </c>
    </row>
    <row r="213" spans="1:15" x14ac:dyDescent="0.3">
      <c r="A213" s="30" t="s">
        <v>545</v>
      </c>
      <c r="B213" s="30" t="s">
        <v>75</v>
      </c>
      <c r="C213" t="s">
        <v>76</v>
      </c>
      <c r="D213" s="63">
        <v>43836</v>
      </c>
      <c r="E213" s="30" t="s">
        <v>24</v>
      </c>
      <c r="F213" s="30" t="s">
        <v>12</v>
      </c>
      <c r="G213" s="30" t="s">
        <v>13</v>
      </c>
      <c r="H213">
        <v>2020</v>
      </c>
      <c r="I213" s="30" t="s">
        <v>513</v>
      </c>
      <c r="J213" s="30" t="s">
        <v>546</v>
      </c>
      <c r="K213" s="30" t="s">
        <v>56</v>
      </c>
      <c r="L213" s="31">
        <f>_xlfn.XLOOKUP(K213, Projects!$A:$A, Projects!$D:$D)</f>
        <v>46069</v>
      </c>
      <c r="M213" s="31">
        <f>_xlfn.XLOOKUP(K213, Projects!$A:$A, Projects!$F:$F)</f>
        <v>46136</v>
      </c>
      <c r="N213" s="30">
        <f t="shared" si="6"/>
        <v>3</v>
      </c>
      <c r="O213" s="30" t="str">
        <f t="shared" si="7"/>
        <v>Overallocated</v>
      </c>
    </row>
    <row r="214" spans="1:15" x14ac:dyDescent="0.3">
      <c r="A214" s="30" t="s">
        <v>582</v>
      </c>
      <c r="B214" s="30" t="s">
        <v>160</v>
      </c>
      <c r="C214">
        <v>43814</v>
      </c>
      <c r="D214" s="63">
        <v>43814</v>
      </c>
      <c r="E214" s="30" t="s">
        <v>31</v>
      </c>
      <c r="F214" s="30" t="s">
        <v>12</v>
      </c>
      <c r="G214" s="30" t="s">
        <v>13</v>
      </c>
      <c r="H214">
        <v>2019</v>
      </c>
      <c r="I214" s="30" t="s">
        <v>514</v>
      </c>
      <c r="J214" s="30" t="s">
        <v>562</v>
      </c>
      <c r="K214" s="30" t="s">
        <v>161</v>
      </c>
      <c r="L214" s="31">
        <f>_xlfn.XLOOKUP(K214, Projects!$A:$A, Projects!$D:$D)</f>
        <v>46069</v>
      </c>
      <c r="M214" s="31">
        <f>_xlfn.XLOOKUP(K214, Projects!$A:$A, Projects!$F:$F)</f>
        <v>46094</v>
      </c>
      <c r="N214" s="30">
        <f t="shared" si="6"/>
        <v>2</v>
      </c>
      <c r="O214" s="30" t="str">
        <f t="shared" si="7"/>
        <v>OK</v>
      </c>
    </row>
    <row r="215" spans="1:15" x14ac:dyDescent="0.3">
      <c r="A215" s="30" t="s">
        <v>656</v>
      </c>
      <c r="B215" s="30" t="s">
        <v>377</v>
      </c>
      <c r="C215">
        <v>42816</v>
      </c>
      <c r="D215" s="63">
        <v>42816</v>
      </c>
      <c r="E215" s="30" t="s">
        <v>170</v>
      </c>
      <c r="F215" s="30" t="s">
        <v>203</v>
      </c>
      <c r="G215" s="30" t="s">
        <v>13</v>
      </c>
      <c r="H215">
        <v>2017</v>
      </c>
      <c r="I215" s="30" t="s">
        <v>513</v>
      </c>
      <c r="J215" s="30" t="s">
        <v>544</v>
      </c>
      <c r="K215" s="30" t="s">
        <v>56</v>
      </c>
      <c r="L215" s="31">
        <f>_xlfn.XLOOKUP(K215, Projects!$A:$A, Projects!$D:$D)</f>
        <v>46069</v>
      </c>
      <c r="M215" s="31">
        <f>_xlfn.XLOOKUP(K215, Projects!$A:$A, Projects!$F:$F)</f>
        <v>46136</v>
      </c>
      <c r="N215" s="30">
        <f t="shared" si="6"/>
        <v>2</v>
      </c>
      <c r="O215" s="30" t="str">
        <f t="shared" si="7"/>
        <v>OK</v>
      </c>
    </row>
    <row r="216" spans="1:15" x14ac:dyDescent="0.3">
      <c r="A216" s="30" t="s">
        <v>609</v>
      </c>
      <c r="B216" s="30" t="s">
        <v>238</v>
      </c>
      <c r="C216">
        <v>43860</v>
      </c>
      <c r="D216" s="63">
        <v>43860</v>
      </c>
      <c r="E216" s="30" t="s">
        <v>170</v>
      </c>
      <c r="F216" s="30" t="s">
        <v>203</v>
      </c>
      <c r="G216" s="30" t="s">
        <v>13</v>
      </c>
      <c r="H216">
        <v>2020</v>
      </c>
      <c r="I216" s="30" t="s">
        <v>513</v>
      </c>
      <c r="J216" s="30" t="s">
        <v>546</v>
      </c>
      <c r="K216" s="30" t="s">
        <v>239</v>
      </c>
      <c r="L216" s="31">
        <f>_xlfn.XLOOKUP(K216, Projects!$A:$A, Projects!$D:$D)</f>
        <v>46076</v>
      </c>
      <c r="M216" s="64" t="str">
        <f>_xlfn.XLOOKUP(K216, Projects!$A:$A, Projects!$F:$F)</f>
        <v>TBD</v>
      </c>
      <c r="N216" s="30">
        <f t="shared" si="6"/>
        <v>0</v>
      </c>
      <c r="O216" s="30" t="str">
        <f t="shared" si="7"/>
        <v>OK</v>
      </c>
    </row>
    <row r="217" spans="1:15" x14ac:dyDescent="0.3">
      <c r="A217" s="30" t="s">
        <v>632</v>
      </c>
      <c r="B217" s="30" t="s">
        <v>312</v>
      </c>
      <c r="C217">
        <v>42973</v>
      </c>
      <c r="D217" s="63">
        <v>42973</v>
      </c>
      <c r="E217" s="30" t="s">
        <v>170</v>
      </c>
      <c r="F217" s="30" t="s">
        <v>196</v>
      </c>
      <c r="G217" s="30" t="s">
        <v>13</v>
      </c>
      <c r="H217">
        <v>2017</v>
      </c>
      <c r="I217" s="30" t="s">
        <v>516</v>
      </c>
      <c r="J217" s="30" t="s">
        <v>604</v>
      </c>
      <c r="K217" s="30" t="s">
        <v>239</v>
      </c>
      <c r="L217" s="31">
        <f>_xlfn.XLOOKUP(K217, Projects!$A:$A, Projects!$D:$D)</f>
        <v>46076</v>
      </c>
      <c r="M217" s="64" t="str">
        <f>_xlfn.XLOOKUP(K217, Projects!$A:$A, Projects!$F:$F)</f>
        <v>TBD</v>
      </c>
      <c r="N217" s="30">
        <f t="shared" si="6"/>
        <v>0</v>
      </c>
      <c r="O217" s="30" t="str">
        <f t="shared" si="7"/>
        <v>OK</v>
      </c>
    </row>
    <row r="218" spans="1:15" x14ac:dyDescent="0.3">
      <c r="A218" s="30" t="s">
        <v>642</v>
      </c>
      <c r="B218" s="30" t="s">
        <v>340</v>
      </c>
      <c r="C218" t="s">
        <v>341</v>
      </c>
      <c r="D218" s="63">
        <v>46014</v>
      </c>
      <c r="E218" s="30" t="s">
        <v>24</v>
      </c>
      <c r="F218" s="30" t="s">
        <v>189</v>
      </c>
      <c r="G218" s="30" t="s">
        <v>13</v>
      </c>
      <c r="H218">
        <v>2025</v>
      </c>
      <c r="I218" s="30" t="s">
        <v>514</v>
      </c>
      <c r="J218" s="30" t="s">
        <v>640</v>
      </c>
      <c r="K218" s="30" t="s">
        <v>342</v>
      </c>
      <c r="L218" s="14">
        <f>_xlfn.XLOOKUP(K218, Projects!$A:$A, Projects!$D:$D)</f>
        <v>46076</v>
      </c>
      <c r="M218" s="31">
        <f>_xlfn.XLOOKUP(K218, Projects!$A:$A, Projects!$F:$F)</f>
        <v>46234</v>
      </c>
      <c r="N218" s="30">
        <f t="shared" si="6"/>
        <v>2</v>
      </c>
      <c r="O218" s="30" t="str">
        <f t="shared" si="7"/>
        <v>OK</v>
      </c>
    </row>
    <row r="219" spans="1:15" x14ac:dyDescent="0.3">
      <c r="A219" s="30" t="s">
        <v>647</v>
      </c>
      <c r="B219" s="30" t="s">
        <v>354</v>
      </c>
      <c r="C219">
        <v>45949</v>
      </c>
      <c r="D219" s="63">
        <v>45949</v>
      </c>
      <c r="E219" s="30" t="s">
        <v>54</v>
      </c>
      <c r="F219" s="30" t="s">
        <v>25</v>
      </c>
      <c r="G219" s="30" t="s">
        <v>55</v>
      </c>
      <c r="H219">
        <v>2025</v>
      </c>
      <c r="I219" s="30" t="s">
        <v>514</v>
      </c>
      <c r="J219" s="30" t="s">
        <v>640</v>
      </c>
      <c r="K219" s="30" t="s">
        <v>342</v>
      </c>
      <c r="L219" s="31">
        <f>_xlfn.XLOOKUP(K219, Projects!$A:$A, Projects!$D:$D)</f>
        <v>46076</v>
      </c>
      <c r="M219" s="31">
        <f>_xlfn.XLOOKUP(K219, Projects!$A:$A, Projects!$F:$F)</f>
        <v>46234</v>
      </c>
      <c r="N219" s="30">
        <f t="shared" si="6"/>
        <v>1</v>
      </c>
      <c r="O219" s="30" t="str">
        <f t="shared" si="7"/>
        <v>OK</v>
      </c>
    </row>
    <row r="220" spans="1:15" x14ac:dyDescent="0.3">
      <c r="A220" s="30" t="s">
        <v>654</v>
      </c>
      <c r="B220" s="30" t="s">
        <v>373</v>
      </c>
      <c r="C220">
        <v>44133</v>
      </c>
      <c r="D220" s="63">
        <v>44133</v>
      </c>
      <c r="E220" s="30" t="s">
        <v>54</v>
      </c>
      <c r="F220" s="30" t="s">
        <v>203</v>
      </c>
      <c r="G220" s="30" t="s">
        <v>13</v>
      </c>
      <c r="H220">
        <v>2020</v>
      </c>
      <c r="I220" s="30" t="s">
        <v>514</v>
      </c>
      <c r="J220" s="30" t="s">
        <v>552</v>
      </c>
      <c r="K220" s="30" t="s">
        <v>239</v>
      </c>
      <c r="L220" s="31">
        <f>_xlfn.XLOOKUP(K220, Projects!$A:$A, Projects!$D:$D)</f>
        <v>46076</v>
      </c>
      <c r="M220" s="64" t="str">
        <f>_xlfn.XLOOKUP(K220, Projects!$A:$A, Projects!$F:$F)</f>
        <v>TBD</v>
      </c>
      <c r="N220" s="30">
        <f t="shared" si="6"/>
        <v>0</v>
      </c>
      <c r="O220" s="30" t="str">
        <f t="shared" si="7"/>
        <v>OK</v>
      </c>
    </row>
    <row r="221" spans="1:15" x14ac:dyDescent="0.3">
      <c r="A221" s="30" t="s">
        <v>522</v>
      </c>
      <c r="B221" s="30" t="s">
        <v>10</v>
      </c>
      <c r="C221">
        <v>44562</v>
      </c>
      <c r="D221" s="63">
        <v>44562</v>
      </c>
      <c r="E221" s="30" t="s">
        <v>11</v>
      </c>
      <c r="F221" s="30" t="s">
        <v>12</v>
      </c>
      <c r="G221" s="30" t="s">
        <v>13</v>
      </c>
      <c r="H221">
        <v>2022</v>
      </c>
      <c r="I221" s="30" t="s">
        <v>513</v>
      </c>
      <c r="J221" s="30" t="s">
        <v>523</v>
      </c>
      <c r="K221" s="30" t="s">
        <v>15</v>
      </c>
      <c r="L221" s="31">
        <f>_xlfn.XLOOKUP(K221, Projects!$A:$A, Projects!$D:$D)</f>
        <v>46083</v>
      </c>
      <c r="M221" s="64" t="str">
        <f>_xlfn.XLOOKUP(K221, Projects!$A:$A, Projects!$F:$F)</f>
        <v>TBD</v>
      </c>
      <c r="N221" s="30">
        <f t="shared" si="6"/>
        <v>0</v>
      </c>
      <c r="O221" s="30" t="str">
        <f t="shared" si="7"/>
        <v>OK</v>
      </c>
    </row>
    <row r="222" spans="1:15" x14ac:dyDescent="0.3">
      <c r="A222" s="30" t="s">
        <v>531</v>
      </c>
      <c r="B222" s="30" t="s">
        <v>41</v>
      </c>
      <c r="C222">
        <v>43405</v>
      </c>
      <c r="D222" s="63">
        <v>43405</v>
      </c>
      <c r="E222" s="30" t="s">
        <v>42</v>
      </c>
      <c r="F222" s="30" t="s">
        <v>25</v>
      </c>
      <c r="G222" s="30" t="s">
        <v>13</v>
      </c>
      <c r="H222">
        <v>2018</v>
      </c>
      <c r="I222" s="30" t="s">
        <v>514</v>
      </c>
      <c r="J222" s="30" t="s">
        <v>532</v>
      </c>
      <c r="K222" s="30" t="s">
        <v>15</v>
      </c>
      <c r="L222" s="31">
        <f>_xlfn.XLOOKUP(K222, Projects!$A:$A, Projects!$D:$D)</f>
        <v>46083</v>
      </c>
      <c r="M222" s="64" t="str">
        <f>_xlfn.XLOOKUP(K222, Projects!$A:$A, Projects!$F:$F)</f>
        <v>TBD</v>
      </c>
      <c r="N222" s="30">
        <f t="shared" si="6"/>
        <v>0</v>
      </c>
      <c r="O222" s="30" t="str">
        <f t="shared" si="7"/>
        <v>OK</v>
      </c>
    </row>
    <row r="223" spans="1:15" x14ac:dyDescent="0.3">
      <c r="A223" s="30" t="s">
        <v>588</v>
      </c>
      <c r="B223" s="30" t="s">
        <v>175</v>
      </c>
      <c r="C223">
        <v>43036</v>
      </c>
      <c r="D223" s="63">
        <v>43036</v>
      </c>
      <c r="E223" s="30" t="s">
        <v>31</v>
      </c>
      <c r="F223" s="30" t="s">
        <v>19</v>
      </c>
      <c r="G223" s="30" t="s">
        <v>114</v>
      </c>
      <c r="H223">
        <v>2017</v>
      </c>
      <c r="I223" s="30" t="s">
        <v>514</v>
      </c>
      <c r="J223" s="30" t="s">
        <v>589</v>
      </c>
      <c r="K223" s="30" t="s">
        <v>177</v>
      </c>
      <c r="L223" s="31">
        <f>_xlfn.XLOOKUP(K223, Projects!$A:$A, Projects!$D:$D)</f>
        <v>46083</v>
      </c>
      <c r="M223" s="31">
        <f>_xlfn.XLOOKUP(K223, Projects!$A:$A, Projects!$F:$F)</f>
        <v>46122</v>
      </c>
      <c r="N223" s="30">
        <f t="shared" si="6"/>
        <v>2</v>
      </c>
      <c r="O223" s="30" t="str">
        <f t="shared" si="7"/>
        <v>OK</v>
      </c>
    </row>
    <row r="224" spans="1:15" x14ac:dyDescent="0.3">
      <c r="A224" s="30" t="s">
        <v>596</v>
      </c>
      <c r="B224" s="30" t="s">
        <v>188</v>
      </c>
      <c r="C224">
        <v>43536</v>
      </c>
      <c r="D224" s="63">
        <v>43536</v>
      </c>
      <c r="E224" s="30" t="s">
        <v>31</v>
      </c>
      <c r="F224" s="30" t="s">
        <v>189</v>
      </c>
      <c r="G224" s="30" t="s">
        <v>13</v>
      </c>
      <c r="H224">
        <v>2019</v>
      </c>
      <c r="I224" s="30" t="s">
        <v>513</v>
      </c>
      <c r="J224" s="30" t="s">
        <v>528</v>
      </c>
      <c r="K224" s="30" t="s">
        <v>190</v>
      </c>
      <c r="L224" s="31">
        <v>46083</v>
      </c>
      <c r="M224" s="31">
        <v>46234</v>
      </c>
      <c r="N224" s="30">
        <f t="shared" si="6"/>
        <v>2</v>
      </c>
      <c r="O224" s="30" t="str">
        <f t="shared" si="7"/>
        <v>OK</v>
      </c>
    </row>
    <row r="225" spans="1:15" x14ac:dyDescent="0.3">
      <c r="A225" s="30" t="s">
        <v>627</v>
      </c>
      <c r="B225" s="30" t="s">
        <v>296</v>
      </c>
      <c r="C225">
        <v>43616</v>
      </c>
      <c r="D225" s="63">
        <v>43616</v>
      </c>
      <c r="E225" s="30" t="s">
        <v>31</v>
      </c>
      <c r="F225" s="30" t="s">
        <v>193</v>
      </c>
      <c r="G225" s="30" t="s">
        <v>13</v>
      </c>
      <c r="H225">
        <v>2019</v>
      </c>
      <c r="I225" s="30" t="s">
        <v>515</v>
      </c>
      <c r="J225" s="30" t="s">
        <v>591</v>
      </c>
      <c r="K225" s="30" t="s">
        <v>177</v>
      </c>
      <c r="L225" s="31">
        <f>_xlfn.XLOOKUP(K225, Projects!$A:$A, Projects!$D:$D)</f>
        <v>46083</v>
      </c>
      <c r="M225" s="31">
        <f>_xlfn.XLOOKUP(K225, Projects!$A:$A, Projects!$F:$F)</f>
        <v>46122</v>
      </c>
      <c r="N225" s="30">
        <f t="shared" si="6"/>
        <v>2</v>
      </c>
      <c r="O225" s="30" t="str">
        <f t="shared" si="7"/>
        <v>OK</v>
      </c>
    </row>
    <row r="226" spans="1:15" x14ac:dyDescent="0.3">
      <c r="A226" s="30" t="s">
        <v>646</v>
      </c>
      <c r="B226" s="30" t="s">
        <v>352</v>
      </c>
      <c r="C226">
        <v>42843</v>
      </c>
      <c r="D226" s="63">
        <v>42843</v>
      </c>
      <c r="E226" s="30" t="s">
        <v>11</v>
      </c>
      <c r="F226" s="30" t="s">
        <v>25</v>
      </c>
      <c r="G226" s="30" t="s">
        <v>336</v>
      </c>
      <c r="H226">
        <v>2017</v>
      </c>
      <c r="I226" s="30" t="s">
        <v>515</v>
      </c>
      <c r="J226" s="30" t="s">
        <v>534</v>
      </c>
      <c r="K226" s="30" t="s">
        <v>15</v>
      </c>
      <c r="L226" s="31">
        <f>_xlfn.XLOOKUP(K226, Projects!$A:$A, Projects!$D:$D)</f>
        <v>46083</v>
      </c>
      <c r="M226" s="64" t="str">
        <f>_xlfn.XLOOKUP(K226, Projects!$A:$A, Projects!$F:$F)</f>
        <v>TBD</v>
      </c>
      <c r="N226" s="30">
        <f t="shared" si="6"/>
        <v>0</v>
      </c>
      <c r="O226" s="30" t="str">
        <f t="shared" si="7"/>
        <v>OK</v>
      </c>
    </row>
    <row r="227" spans="1:15" x14ac:dyDescent="0.3">
      <c r="A227" s="30" t="s">
        <v>553</v>
      </c>
      <c r="B227" s="30" t="s">
        <v>91</v>
      </c>
      <c r="C227">
        <v>43668</v>
      </c>
      <c r="D227" s="63">
        <v>43668</v>
      </c>
      <c r="E227" s="30" t="s">
        <v>36</v>
      </c>
      <c r="F227" s="30" t="s">
        <v>19</v>
      </c>
      <c r="G227" s="30" t="s">
        <v>13</v>
      </c>
      <c r="H227">
        <v>2019</v>
      </c>
      <c r="I227" s="30" t="s">
        <v>516</v>
      </c>
      <c r="J227" s="30" t="s">
        <v>540</v>
      </c>
      <c r="K227" s="30" t="s">
        <v>94</v>
      </c>
      <c r="L227" s="64" t="str">
        <f>_xlfn.XLOOKUP(K227, Projects!$A:$A, Projects!$D:$D)</f>
        <v>TBD</v>
      </c>
      <c r="M227" s="64" t="str">
        <f>_xlfn.XLOOKUP(K227, Projects!$A:$A, Projects!$F:$F)</f>
        <v>TBD</v>
      </c>
      <c r="N227" s="30">
        <f t="shared" si="6"/>
        <v>1</v>
      </c>
      <c r="O227" s="30" t="str">
        <f t="shared" si="7"/>
        <v>OK</v>
      </c>
    </row>
    <row r="228" spans="1:15" x14ac:dyDescent="0.3">
      <c r="A228" s="30" t="s">
        <v>563</v>
      </c>
      <c r="B228" s="30" t="s">
        <v>119</v>
      </c>
      <c r="C228">
        <v>44361</v>
      </c>
      <c r="D228" s="63">
        <v>44361</v>
      </c>
      <c r="E228" s="30" t="s">
        <v>54</v>
      </c>
      <c r="F228" s="30" t="s">
        <v>25</v>
      </c>
      <c r="G228" s="30" t="s">
        <v>55</v>
      </c>
      <c r="H228">
        <v>2021</v>
      </c>
      <c r="I228" s="30" t="s">
        <v>515</v>
      </c>
      <c r="J228" s="30" t="s">
        <v>564</v>
      </c>
      <c r="K228" s="30" t="s">
        <v>120</v>
      </c>
      <c r="L228" s="64" t="str">
        <f>_xlfn.XLOOKUP(K228, Projects!$A:$A, Projects!$D:$D)</f>
        <v>TBD</v>
      </c>
      <c r="M228" s="64" t="str">
        <f>_xlfn.XLOOKUP(K228, Projects!$A:$A, Projects!$F:$F)</f>
        <v>TBD</v>
      </c>
      <c r="N228" s="30">
        <f t="shared" si="6"/>
        <v>1</v>
      </c>
      <c r="O228" s="30" t="str">
        <f t="shared" si="7"/>
        <v>OK</v>
      </c>
    </row>
    <row r="229" spans="1:15" x14ac:dyDescent="0.3">
      <c r="A229" s="30" t="s">
        <v>581</v>
      </c>
      <c r="B229" s="30" t="s">
        <v>155</v>
      </c>
      <c r="C229" t="s">
        <v>156</v>
      </c>
      <c r="D229" s="63">
        <v>43908</v>
      </c>
      <c r="E229" s="30" t="s">
        <v>31</v>
      </c>
      <c r="F229" s="30" t="s">
        <v>25</v>
      </c>
      <c r="G229" s="30" t="s">
        <v>13</v>
      </c>
      <c r="H229">
        <v>2020</v>
      </c>
      <c r="I229" s="30" t="s">
        <v>513</v>
      </c>
      <c r="J229" s="30" t="s">
        <v>546</v>
      </c>
      <c r="K229" s="30" t="s">
        <v>120</v>
      </c>
      <c r="L229" s="64" t="str">
        <f>_xlfn.XLOOKUP(K229, Projects!$A:$A, Projects!$D:$D)</f>
        <v>TBD</v>
      </c>
      <c r="M229" s="64" t="str">
        <f>_xlfn.XLOOKUP(K229, Projects!$A:$A, Projects!$F:$F)</f>
        <v>TBD</v>
      </c>
      <c r="N229" s="30">
        <f t="shared" si="6"/>
        <v>1</v>
      </c>
      <c r="O229" s="30" t="str">
        <f t="shared" si="7"/>
        <v>OK</v>
      </c>
    </row>
    <row r="230" spans="1:15" x14ac:dyDescent="0.3">
      <c r="A230" s="30" t="s">
        <v>600</v>
      </c>
      <c r="B230" s="30" t="s">
        <v>211</v>
      </c>
      <c r="C230" t="s">
        <v>212</v>
      </c>
      <c r="D230" s="63">
        <v>43594</v>
      </c>
      <c r="E230" s="30" t="s">
        <v>54</v>
      </c>
      <c r="F230" s="30" t="s">
        <v>193</v>
      </c>
      <c r="G230" s="30" t="s">
        <v>13</v>
      </c>
      <c r="H230">
        <v>2019</v>
      </c>
      <c r="I230" s="30" t="s">
        <v>515</v>
      </c>
      <c r="J230" s="30" t="s">
        <v>591</v>
      </c>
      <c r="K230" s="30" t="s">
        <v>94</v>
      </c>
      <c r="L230" s="64" t="str">
        <f>_xlfn.XLOOKUP(K230, Projects!$A:$A, Projects!$D:$D)</f>
        <v>TBD</v>
      </c>
      <c r="M230" s="64" t="str">
        <f>_xlfn.XLOOKUP(K230, Projects!$A:$A, Projects!$F:$F)</f>
        <v>TBD</v>
      </c>
      <c r="N230" s="30">
        <f t="shared" si="6"/>
        <v>1</v>
      </c>
      <c r="O230" s="30" t="str">
        <f t="shared" si="7"/>
        <v>OK</v>
      </c>
    </row>
  </sheetData>
  <mergeCells count="3">
    <mergeCell ref="Q1:R1"/>
    <mergeCell ref="Q15:S19"/>
    <mergeCell ref="Q21:S23"/>
  </mergeCells>
  <conditionalFormatting sqref="O1:O1048576">
    <cfRule type="containsText" dxfId="27" priority="1" operator="containsText" text="Overallocated">
      <formula>NOT(ISERROR(SEARCH("Overallocated",O1)))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E75E-CA90-44AB-AF6D-F3423E02BAFD}">
  <dimension ref="A3:K130"/>
  <sheetViews>
    <sheetView workbookViewId="0">
      <selection activeCell="B9" sqref="B9"/>
    </sheetView>
  </sheetViews>
  <sheetFormatPr defaultRowHeight="14.4" x14ac:dyDescent="0.3"/>
  <cols>
    <col min="1" max="1" width="16.77734375" bestFit="1" customWidth="1"/>
    <col min="2" max="2" width="19" bestFit="1" customWidth="1"/>
  </cols>
  <sheetData>
    <row r="3" spans="1:11" x14ac:dyDescent="0.3">
      <c r="A3" s="27" t="s">
        <v>1</v>
      </c>
      <c r="B3" t="s">
        <v>672</v>
      </c>
    </row>
    <row r="4" spans="1:11" x14ac:dyDescent="0.3">
      <c r="A4" s="28" t="s">
        <v>188</v>
      </c>
      <c r="B4" s="30">
        <v>2</v>
      </c>
    </row>
    <row r="5" spans="1:11" x14ac:dyDescent="0.3">
      <c r="A5" s="28" t="s">
        <v>250</v>
      </c>
      <c r="B5" s="30">
        <v>2</v>
      </c>
    </row>
    <row r="6" spans="1:11" x14ac:dyDescent="0.3">
      <c r="A6" s="28" t="s">
        <v>140</v>
      </c>
      <c r="B6" s="30">
        <v>2</v>
      </c>
      <c r="F6" s="56" t="s">
        <v>664</v>
      </c>
      <c r="G6" s="56"/>
      <c r="H6" s="56"/>
      <c r="I6" s="56"/>
      <c r="J6" s="56"/>
      <c r="K6" s="56"/>
    </row>
    <row r="7" spans="1:11" x14ac:dyDescent="0.3">
      <c r="A7" s="28" t="s">
        <v>116</v>
      </c>
      <c r="B7" s="30">
        <v>2</v>
      </c>
      <c r="F7" s="56"/>
      <c r="G7" s="56"/>
      <c r="H7" s="56"/>
      <c r="I7" s="56"/>
      <c r="J7" s="56"/>
      <c r="K7" s="56"/>
    </row>
    <row r="8" spans="1:11" x14ac:dyDescent="0.3">
      <c r="A8" s="28" t="s">
        <v>229</v>
      </c>
      <c r="B8" s="30">
        <v>3</v>
      </c>
      <c r="F8" s="56"/>
      <c r="G8" s="56"/>
      <c r="H8" s="56"/>
      <c r="I8" s="56"/>
      <c r="J8" s="56"/>
      <c r="K8" s="56"/>
    </row>
    <row r="9" spans="1:11" x14ac:dyDescent="0.3">
      <c r="A9" s="28" t="s">
        <v>271</v>
      </c>
      <c r="B9" s="30">
        <v>1</v>
      </c>
    </row>
    <row r="10" spans="1:11" x14ac:dyDescent="0.3">
      <c r="A10" s="28" t="s">
        <v>107</v>
      </c>
      <c r="B10" s="30">
        <v>2</v>
      </c>
    </row>
    <row r="11" spans="1:11" x14ac:dyDescent="0.3">
      <c r="A11" s="28" t="s">
        <v>238</v>
      </c>
      <c r="B11" s="30">
        <v>3</v>
      </c>
    </row>
    <row r="12" spans="1:11" x14ac:dyDescent="0.3">
      <c r="A12" s="28" t="s">
        <v>61</v>
      </c>
      <c r="B12" s="30">
        <v>2</v>
      </c>
    </row>
    <row r="13" spans="1:11" x14ac:dyDescent="0.3">
      <c r="A13" s="28" t="s">
        <v>370</v>
      </c>
      <c r="B13" s="30">
        <v>1</v>
      </c>
    </row>
    <row r="14" spans="1:11" x14ac:dyDescent="0.3">
      <c r="A14" s="28" t="s">
        <v>280</v>
      </c>
      <c r="B14" s="30">
        <v>2</v>
      </c>
    </row>
    <row r="15" spans="1:11" x14ac:dyDescent="0.3">
      <c r="A15" s="28" t="s">
        <v>380</v>
      </c>
      <c r="B15" s="30">
        <v>2</v>
      </c>
    </row>
    <row r="16" spans="1:11" x14ac:dyDescent="0.3">
      <c r="A16" s="28" t="s">
        <v>17</v>
      </c>
      <c r="B16" s="30">
        <v>2</v>
      </c>
    </row>
    <row r="17" spans="1:2" x14ac:dyDescent="0.3">
      <c r="A17" s="28" t="s">
        <v>387</v>
      </c>
      <c r="B17" s="30">
        <v>2</v>
      </c>
    </row>
    <row r="18" spans="1:2" x14ac:dyDescent="0.3">
      <c r="A18" s="28" t="s">
        <v>86</v>
      </c>
      <c r="B18" s="30">
        <v>1</v>
      </c>
    </row>
    <row r="19" spans="1:2" x14ac:dyDescent="0.3">
      <c r="A19" s="28" t="s">
        <v>317</v>
      </c>
      <c r="B19" s="30">
        <v>2</v>
      </c>
    </row>
    <row r="20" spans="1:2" x14ac:dyDescent="0.3">
      <c r="A20" s="28" t="s">
        <v>375</v>
      </c>
      <c r="B20" s="30">
        <v>1</v>
      </c>
    </row>
    <row r="21" spans="1:2" x14ac:dyDescent="0.3">
      <c r="A21" s="28" t="s">
        <v>179</v>
      </c>
      <c r="B21" s="30">
        <v>2</v>
      </c>
    </row>
    <row r="22" spans="1:2" x14ac:dyDescent="0.3">
      <c r="A22" s="28" t="s">
        <v>385</v>
      </c>
      <c r="B22" s="30">
        <v>2</v>
      </c>
    </row>
    <row r="23" spans="1:2" x14ac:dyDescent="0.3">
      <c r="A23" s="28" t="s">
        <v>324</v>
      </c>
      <c r="B23" s="30">
        <v>1</v>
      </c>
    </row>
    <row r="24" spans="1:2" x14ac:dyDescent="0.3">
      <c r="A24" s="28" t="s">
        <v>365</v>
      </c>
      <c r="B24" s="30">
        <v>2</v>
      </c>
    </row>
    <row r="25" spans="1:2" x14ac:dyDescent="0.3">
      <c r="A25" s="28" t="s">
        <v>128</v>
      </c>
      <c r="B25" s="30">
        <v>2</v>
      </c>
    </row>
    <row r="26" spans="1:2" x14ac:dyDescent="0.3">
      <c r="A26" s="28" t="s">
        <v>273</v>
      </c>
      <c r="B26" s="30">
        <v>2</v>
      </c>
    </row>
    <row r="27" spans="1:2" x14ac:dyDescent="0.3">
      <c r="A27" s="28" t="s">
        <v>152</v>
      </c>
      <c r="B27" s="30">
        <v>2</v>
      </c>
    </row>
    <row r="28" spans="1:2" x14ac:dyDescent="0.3">
      <c r="A28" s="28" t="s">
        <v>163</v>
      </c>
      <c r="B28" s="30">
        <v>2</v>
      </c>
    </row>
    <row r="29" spans="1:2" x14ac:dyDescent="0.3">
      <c r="A29" s="28" t="s">
        <v>202</v>
      </c>
      <c r="B29" s="30">
        <v>2</v>
      </c>
    </row>
    <row r="30" spans="1:2" x14ac:dyDescent="0.3">
      <c r="A30" s="28" t="s">
        <v>332</v>
      </c>
      <c r="B30" s="30">
        <v>1</v>
      </c>
    </row>
    <row r="31" spans="1:2" x14ac:dyDescent="0.3">
      <c r="A31" s="28" t="s">
        <v>382</v>
      </c>
      <c r="B31" s="30">
        <v>2</v>
      </c>
    </row>
    <row r="32" spans="1:2" x14ac:dyDescent="0.3">
      <c r="A32" s="28" t="s">
        <v>89</v>
      </c>
      <c r="B32" s="30">
        <v>2</v>
      </c>
    </row>
    <row r="33" spans="1:2" x14ac:dyDescent="0.3">
      <c r="A33" s="28" t="s">
        <v>300</v>
      </c>
      <c r="B33" s="30">
        <v>1</v>
      </c>
    </row>
    <row r="34" spans="1:2" x14ac:dyDescent="0.3">
      <c r="A34" s="28" t="s">
        <v>390</v>
      </c>
      <c r="B34" s="30">
        <v>2</v>
      </c>
    </row>
    <row r="35" spans="1:2" x14ac:dyDescent="0.3">
      <c r="A35" s="28" t="s">
        <v>393</v>
      </c>
      <c r="B35" s="30">
        <v>1</v>
      </c>
    </row>
    <row r="36" spans="1:2" x14ac:dyDescent="0.3">
      <c r="A36" s="28" t="s">
        <v>328</v>
      </c>
      <c r="B36" s="30">
        <v>1</v>
      </c>
    </row>
    <row r="37" spans="1:2" x14ac:dyDescent="0.3">
      <c r="A37" s="28" t="s">
        <v>53</v>
      </c>
      <c r="B37" s="30">
        <v>1</v>
      </c>
    </row>
    <row r="38" spans="1:2" x14ac:dyDescent="0.3">
      <c r="A38" s="28" t="s">
        <v>340</v>
      </c>
      <c r="B38" s="30">
        <v>2</v>
      </c>
    </row>
    <row r="39" spans="1:2" x14ac:dyDescent="0.3">
      <c r="A39" s="28" t="s">
        <v>289</v>
      </c>
      <c r="B39" s="30">
        <v>1</v>
      </c>
    </row>
    <row r="40" spans="1:2" x14ac:dyDescent="0.3">
      <c r="A40" s="28" t="s">
        <v>71</v>
      </c>
      <c r="B40" s="30">
        <v>2</v>
      </c>
    </row>
    <row r="41" spans="1:2" x14ac:dyDescent="0.3">
      <c r="A41" s="28" t="s">
        <v>199</v>
      </c>
      <c r="B41" s="30">
        <v>2</v>
      </c>
    </row>
    <row r="42" spans="1:2" x14ac:dyDescent="0.3">
      <c r="A42" s="28" t="s">
        <v>344</v>
      </c>
      <c r="B42" s="30">
        <v>1</v>
      </c>
    </row>
    <row r="43" spans="1:2" x14ac:dyDescent="0.3">
      <c r="A43" s="28" t="s">
        <v>307</v>
      </c>
      <c r="B43" s="30">
        <v>1</v>
      </c>
    </row>
    <row r="44" spans="1:2" x14ac:dyDescent="0.3">
      <c r="A44" s="28" t="s">
        <v>166</v>
      </c>
      <c r="B44" s="30">
        <v>1</v>
      </c>
    </row>
    <row r="45" spans="1:2" x14ac:dyDescent="0.3">
      <c r="A45" s="28" t="s">
        <v>253</v>
      </c>
      <c r="B45" s="30">
        <v>2</v>
      </c>
    </row>
    <row r="46" spans="1:2" x14ac:dyDescent="0.3">
      <c r="A46" s="28" t="s">
        <v>348</v>
      </c>
      <c r="B46" s="30">
        <v>2</v>
      </c>
    </row>
    <row r="47" spans="1:2" x14ac:dyDescent="0.3">
      <c r="A47" s="28" t="s">
        <v>113</v>
      </c>
      <c r="B47" s="30">
        <v>1</v>
      </c>
    </row>
    <row r="48" spans="1:2" x14ac:dyDescent="0.3">
      <c r="A48" s="28" t="s">
        <v>217</v>
      </c>
      <c r="B48" s="30">
        <v>3</v>
      </c>
    </row>
    <row r="49" spans="1:2" x14ac:dyDescent="0.3">
      <c r="A49" s="28" t="s">
        <v>322</v>
      </c>
      <c r="B49" s="30">
        <v>1</v>
      </c>
    </row>
    <row r="50" spans="1:2" x14ac:dyDescent="0.3">
      <c r="A50" s="28" t="s">
        <v>294</v>
      </c>
      <c r="B50" s="30">
        <v>3</v>
      </c>
    </row>
    <row r="51" spans="1:2" x14ac:dyDescent="0.3">
      <c r="A51" s="28" t="s">
        <v>122</v>
      </c>
      <c r="B51" s="30">
        <v>2</v>
      </c>
    </row>
    <row r="52" spans="1:2" x14ac:dyDescent="0.3">
      <c r="A52" s="28" t="s">
        <v>144</v>
      </c>
      <c r="B52" s="30">
        <v>3</v>
      </c>
    </row>
    <row r="53" spans="1:2" x14ac:dyDescent="0.3">
      <c r="A53" s="28" t="s">
        <v>259</v>
      </c>
      <c r="B53" s="30">
        <v>2</v>
      </c>
    </row>
    <row r="54" spans="1:2" x14ac:dyDescent="0.3">
      <c r="A54" s="28" t="s">
        <v>29</v>
      </c>
      <c r="B54" s="30">
        <v>2</v>
      </c>
    </row>
    <row r="55" spans="1:2" x14ac:dyDescent="0.3">
      <c r="A55" s="28" t="s">
        <v>223</v>
      </c>
      <c r="B55" s="30">
        <v>2</v>
      </c>
    </row>
    <row r="56" spans="1:2" x14ac:dyDescent="0.3">
      <c r="A56" s="28" t="s">
        <v>91</v>
      </c>
      <c r="B56" s="30">
        <v>3</v>
      </c>
    </row>
    <row r="57" spans="1:2" x14ac:dyDescent="0.3">
      <c r="A57" s="28" t="s">
        <v>310</v>
      </c>
      <c r="B57" s="30">
        <v>2</v>
      </c>
    </row>
    <row r="58" spans="1:2" x14ac:dyDescent="0.3">
      <c r="A58" s="28" t="s">
        <v>314</v>
      </c>
      <c r="B58" s="30">
        <v>2</v>
      </c>
    </row>
    <row r="59" spans="1:2" x14ac:dyDescent="0.3">
      <c r="A59" s="28" t="s">
        <v>363</v>
      </c>
      <c r="B59" s="30">
        <v>2</v>
      </c>
    </row>
    <row r="60" spans="1:2" x14ac:dyDescent="0.3">
      <c r="A60" s="28" t="s">
        <v>350</v>
      </c>
      <c r="B60" s="30">
        <v>2</v>
      </c>
    </row>
    <row r="61" spans="1:2" x14ac:dyDescent="0.3">
      <c r="A61" s="28" t="s">
        <v>232</v>
      </c>
      <c r="B61" s="30">
        <v>1</v>
      </c>
    </row>
    <row r="62" spans="1:2" x14ac:dyDescent="0.3">
      <c r="A62" s="28" t="s">
        <v>172</v>
      </c>
      <c r="B62" s="30">
        <v>4</v>
      </c>
    </row>
    <row r="63" spans="1:2" x14ac:dyDescent="0.3">
      <c r="A63" s="28" t="s">
        <v>35</v>
      </c>
      <c r="B63" s="30">
        <v>3</v>
      </c>
    </row>
    <row r="64" spans="1:2" x14ac:dyDescent="0.3">
      <c r="A64" s="28" t="s">
        <v>245</v>
      </c>
      <c r="B64" s="30">
        <v>2</v>
      </c>
    </row>
    <row r="65" spans="1:2" x14ac:dyDescent="0.3">
      <c r="A65" s="28" t="s">
        <v>96</v>
      </c>
      <c r="B65" s="30">
        <v>1</v>
      </c>
    </row>
    <row r="66" spans="1:2" x14ac:dyDescent="0.3">
      <c r="A66" s="28" t="s">
        <v>373</v>
      </c>
      <c r="B66" s="30">
        <v>2</v>
      </c>
    </row>
    <row r="67" spans="1:2" x14ac:dyDescent="0.3">
      <c r="A67" s="28" t="s">
        <v>75</v>
      </c>
      <c r="B67" s="30">
        <v>3</v>
      </c>
    </row>
    <row r="68" spans="1:2" x14ac:dyDescent="0.3">
      <c r="A68" s="28" t="s">
        <v>155</v>
      </c>
      <c r="B68" s="30">
        <v>2</v>
      </c>
    </row>
    <row r="69" spans="1:2" x14ac:dyDescent="0.3">
      <c r="A69" s="28" t="s">
        <v>192</v>
      </c>
      <c r="B69" s="30">
        <v>1</v>
      </c>
    </row>
    <row r="70" spans="1:2" x14ac:dyDescent="0.3">
      <c r="A70" s="28" t="s">
        <v>160</v>
      </c>
      <c r="B70" s="30">
        <v>2</v>
      </c>
    </row>
    <row r="71" spans="1:2" x14ac:dyDescent="0.3">
      <c r="A71" s="28" t="s">
        <v>277</v>
      </c>
      <c r="B71" s="30">
        <v>2</v>
      </c>
    </row>
    <row r="72" spans="1:2" x14ac:dyDescent="0.3">
      <c r="A72" s="28" t="s">
        <v>80</v>
      </c>
      <c r="B72" s="30">
        <v>2</v>
      </c>
    </row>
    <row r="73" spans="1:2" x14ac:dyDescent="0.3">
      <c r="A73" s="28" t="s">
        <v>256</v>
      </c>
      <c r="B73" s="30">
        <v>3</v>
      </c>
    </row>
    <row r="74" spans="1:2" x14ac:dyDescent="0.3">
      <c r="A74" s="28" t="s">
        <v>58</v>
      </c>
      <c r="B74" s="30">
        <v>1</v>
      </c>
    </row>
    <row r="75" spans="1:2" x14ac:dyDescent="0.3">
      <c r="A75" s="28" t="s">
        <v>110</v>
      </c>
      <c r="B75" s="30">
        <v>2</v>
      </c>
    </row>
    <row r="76" spans="1:2" x14ac:dyDescent="0.3">
      <c r="A76" s="28" t="s">
        <v>241</v>
      </c>
      <c r="B76" s="30">
        <v>1</v>
      </c>
    </row>
    <row r="77" spans="1:2" x14ac:dyDescent="0.3">
      <c r="A77" s="28" t="s">
        <v>175</v>
      </c>
      <c r="B77" s="30">
        <v>2</v>
      </c>
    </row>
    <row r="78" spans="1:2" x14ac:dyDescent="0.3">
      <c r="A78" s="28" t="s">
        <v>320</v>
      </c>
      <c r="B78" s="30">
        <v>2</v>
      </c>
    </row>
    <row r="79" spans="1:2" x14ac:dyDescent="0.3">
      <c r="A79" s="28" t="s">
        <v>211</v>
      </c>
      <c r="B79" s="30">
        <v>2</v>
      </c>
    </row>
    <row r="80" spans="1:2" x14ac:dyDescent="0.3">
      <c r="A80" s="28" t="s">
        <v>45</v>
      </c>
      <c r="B80" s="30">
        <v>1</v>
      </c>
    </row>
    <row r="81" spans="1:2" x14ac:dyDescent="0.3">
      <c r="A81" s="28" t="s">
        <v>367</v>
      </c>
      <c r="B81" s="30">
        <v>3</v>
      </c>
    </row>
    <row r="82" spans="1:2" x14ac:dyDescent="0.3">
      <c r="A82" s="28" t="s">
        <v>262</v>
      </c>
      <c r="B82" s="30">
        <v>2</v>
      </c>
    </row>
    <row r="83" spans="1:2" x14ac:dyDescent="0.3">
      <c r="A83" s="28" t="s">
        <v>41</v>
      </c>
      <c r="B83" s="30">
        <v>2</v>
      </c>
    </row>
    <row r="84" spans="1:2" x14ac:dyDescent="0.3">
      <c r="A84" s="28" t="s">
        <v>312</v>
      </c>
      <c r="B84" s="30">
        <v>2</v>
      </c>
    </row>
    <row r="85" spans="1:2" x14ac:dyDescent="0.3">
      <c r="A85" s="28" t="s">
        <v>68</v>
      </c>
      <c r="B85" s="30">
        <v>2</v>
      </c>
    </row>
    <row r="86" spans="1:2" x14ac:dyDescent="0.3">
      <c r="A86" s="28" t="s">
        <v>247</v>
      </c>
      <c r="B86" s="30">
        <v>1</v>
      </c>
    </row>
    <row r="87" spans="1:2" x14ac:dyDescent="0.3">
      <c r="A87" s="28" t="s">
        <v>286</v>
      </c>
      <c r="B87" s="30">
        <v>1</v>
      </c>
    </row>
    <row r="88" spans="1:2" x14ac:dyDescent="0.3">
      <c r="A88" s="28" t="s">
        <v>220</v>
      </c>
      <c r="B88" s="30">
        <v>2</v>
      </c>
    </row>
    <row r="89" spans="1:2" x14ac:dyDescent="0.3">
      <c r="A89" s="28" t="s">
        <v>103</v>
      </c>
      <c r="B89" s="30">
        <v>2</v>
      </c>
    </row>
    <row r="90" spans="1:2" x14ac:dyDescent="0.3">
      <c r="A90" s="28" t="s">
        <v>125</v>
      </c>
      <c r="B90" s="30">
        <v>1</v>
      </c>
    </row>
    <row r="91" spans="1:2" x14ac:dyDescent="0.3">
      <c r="A91" s="28" t="s">
        <v>148</v>
      </c>
      <c r="B91" s="30">
        <v>2</v>
      </c>
    </row>
    <row r="92" spans="1:2" x14ac:dyDescent="0.3">
      <c r="A92" s="28" t="s">
        <v>207</v>
      </c>
      <c r="B92" s="30">
        <v>2</v>
      </c>
    </row>
    <row r="93" spans="1:2" x14ac:dyDescent="0.3">
      <c r="A93" s="28" t="s">
        <v>10</v>
      </c>
      <c r="B93" s="30">
        <v>2</v>
      </c>
    </row>
    <row r="94" spans="1:2" x14ac:dyDescent="0.3">
      <c r="A94" s="28" t="s">
        <v>395</v>
      </c>
      <c r="B94" s="30">
        <v>2</v>
      </c>
    </row>
    <row r="95" spans="1:2" x14ac:dyDescent="0.3">
      <c r="A95" s="28" t="s">
        <v>185</v>
      </c>
      <c r="B95" s="30">
        <v>1</v>
      </c>
    </row>
    <row r="96" spans="1:2" x14ac:dyDescent="0.3">
      <c r="A96" s="28" t="s">
        <v>296</v>
      </c>
      <c r="B96" s="30">
        <v>2</v>
      </c>
    </row>
    <row r="97" spans="1:2" x14ac:dyDescent="0.3">
      <c r="A97" s="28" t="s">
        <v>356</v>
      </c>
      <c r="B97" s="30">
        <v>2</v>
      </c>
    </row>
    <row r="98" spans="1:2" x14ac:dyDescent="0.3">
      <c r="A98" s="28" t="s">
        <v>183</v>
      </c>
      <c r="B98" s="30">
        <v>2</v>
      </c>
    </row>
    <row r="99" spans="1:2" x14ac:dyDescent="0.3">
      <c r="A99" s="28" t="s">
        <v>352</v>
      </c>
      <c r="B99" s="30">
        <v>2</v>
      </c>
    </row>
    <row r="100" spans="1:2" x14ac:dyDescent="0.3">
      <c r="A100" s="28" t="s">
        <v>119</v>
      </c>
      <c r="B100" s="30">
        <v>2</v>
      </c>
    </row>
    <row r="101" spans="1:2" x14ac:dyDescent="0.3">
      <c r="A101" s="28" t="s">
        <v>303</v>
      </c>
      <c r="B101" s="30">
        <v>1</v>
      </c>
    </row>
    <row r="102" spans="1:2" x14ac:dyDescent="0.3">
      <c r="A102" s="28" t="s">
        <v>130</v>
      </c>
      <c r="B102" s="30">
        <v>2</v>
      </c>
    </row>
    <row r="103" spans="1:2" x14ac:dyDescent="0.3">
      <c r="A103" s="28" t="s">
        <v>377</v>
      </c>
      <c r="B103" s="30">
        <v>2</v>
      </c>
    </row>
    <row r="104" spans="1:2" x14ac:dyDescent="0.3">
      <c r="A104" s="28" t="s">
        <v>214</v>
      </c>
      <c r="B104" s="30">
        <v>2</v>
      </c>
    </row>
    <row r="105" spans="1:2" x14ac:dyDescent="0.3">
      <c r="A105" s="28" t="s">
        <v>283</v>
      </c>
      <c r="B105" s="30">
        <v>2</v>
      </c>
    </row>
    <row r="106" spans="1:2" x14ac:dyDescent="0.3">
      <c r="A106" s="28" t="s">
        <v>158</v>
      </c>
      <c r="B106" s="30">
        <v>1</v>
      </c>
    </row>
    <row r="107" spans="1:2" x14ac:dyDescent="0.3">
      <c r="A107" s="28" t="s">
        <v>291</v>
      </c>
      <c r="B107" s="30">
        <v>1</v>
      </c>
    </row>
    <row r="108" spans="1:2" x14ac:dyDescent="0.3">
      <c r="A108" s="28" t="s">
        <v>195</v>
      </c>
      <c r="B108" s="30">
        <v>2</v>
      </c>
    </row>
    <row r="109" spans="1:2" x14ac:dyDescent="0.3">
      <c r="A109" s="28" t="s">
        <v>169</v>
      </c>
      <c r="B109" s="30">
        <v>2</v>
      </c>
    </row>
    <row r="110" spans="1:2" x14ac:dyDescent="0.3">
      <c r="A110" s="28" t="s">
        <v>335</v>
      </c>
      <c r="B110" s="30">
        <v>2</v>
      </c>
    </row>
    <row r="111" spans="1:2" x14ac:dyDescent="0.3">
      <c r="A111" s="28" t="s">
        <v>150</v>
      </c>
      <c r="B111" s="30">
        <v>1</v>
      </c>
    </row>
    <row r="112" spans="1:2" x14ac:dyDescent="0.3">
      <c r="A112" s="28" t="s">
        <v>65</v>
      </c>
      <c r="B112" s="30">
        <v>1</v>
      </c>
    </row>
    <row r="113" spans="1:2" x14ac:dyDescent="0.3">
      <c r="A113" s="28" t="s">
        <v>267</v>
      </c>
      <c r="B113" s="30">
        <v>1</v>
      </c>
    </row>
    <row r="114" spans="1:2" x14ac:dyDescent="0.3">
      <c r="A114" s="28" t="s">
        <v>358</v>
      </c>
      <c r="B114" s="30">
        <v>6</v>
      </c>
    </row>
    <row r="115" spans="1:2" x14ac:dyDescent="0.3">
      <c r="A115" s="28" t="s">
        <v>23</v>
      </c>
      <c r="B115" s="30">
        <v>2</v>
      </c>
    </row>
    <row r="116" spans="1:2" x14ac:dyDescent="0.3">
      <c r="A116" s="28" t="s">
        <v>83</v>
      </c>
      <c r="B116" s="30">
        <v>2</v>
      </c>
    </row>
    <row r="117" spans="1:2" x14ac:dyDescent="0.3">
      <c r="A117" s="28" t="s">
        <v>330</v>
      </c>
      <c r="B117" s="30">
        <v>2</v>
      </c>
    </row>
    <row r="118" spans="1:2" x14ac:dyDescent="0.3">
      <c r="A118" s="28" t="s">
        <v>354</v>
      </c>
      <c r="B118" s="30">
        <v>1</v>
      </c>
    </row>
    <row r="119" spans="1:2" x14ac:dyDescent="0.3">
      <c r="A119" s="28" t="s">
        <v>305</v>
      </c>
      <c r="B119" s="30">
        <v>1</v>
      </c>
    </row>
    <row r="120" spans="1:2" x14ac:dyDescent="0.3">
      <c r="A120" s="28" t="s">
        <v>137</v>
      </c>
      <c r="B120" s="30">
        <v>2</v>
      </c>
    </row>
    <row r="121" spans="1:2" x14ac:dyDescent="0.3">
      <c r="A121" s="28" t="s">
        <v>226</v>
      </c>
      <c r="B121" s="30">
        <v>2</v>
      </c>
    </row>
    <row r="122" spans="1:2" x14ac:dyDescent="0.3">
      <c r="A122" s="28" t="s">
        <v>326</v>
      </c>
      <c r="B122" s="30">
        <v>1</v>
      </c>
    </row>
    <row r="123" spans="1:2" x14ac:dyDescent="0.3">
      <c r="A123" s="28" t="s">
        <v>234</v>
      </c>
      <c r="B123" s="30">
        <v>2</v>
      </c>
    </row>
    <row r="124" spans="1:2" x14ac:dyDescent="0.3">
      <c r="A124" s="28" t="s">
        <v>98</v>
      </c>
      <c r="B124" s="30">
        <v>2</v>
      </c>
    </row>
    <row r="125" spans="1:2" x14ac:dyDescent="0.3">
      <c r="A125" s="28" t="s">
        <v>134</v>
      </c>
      <c r="B125" s="30">
        <v>1</v>
      </c>
    </row>
    <row r="126" spans="1:2" x14ac:dyDescent="0.3">
      <c r="A126" s="28" t="s">
        <v>48</v>
      </c>
      <c r="B126" s="30">
        <v>2</v>
      </c>
    </row>
    <row r="127" spans="1:2" x14ac:dyDescent="0.3">
      <c r="A127" s="28" t="s">
        <v>269</v>
      </c>
      <c r="B127" s="30">
        <v>1</v>
      </c>
    </row>
    <row r="128" spans="1:2" x14ac:dyDescent="0.3">
      <c r="A128" s="28" t="s">
        <v>298</v>
      </c>
      <c r="B128" s="30">
        <v>1</v>
      </c>
    </row>
    <row r="129" spans="1:2" x14ac:dyDescent="0.3">
      <c r="A129" s="28" t="s">
        <v>243</v>
      </c>
      <c r="B129" s="30">
        <v>1</v>
      </c>
    </row>
    <row r="130" spans="1:2" x14ac:dyDescent="0.3">
      <c r="A130" s="28" t="s">
        <v>496</v>
      </c>
      <c r="B130" s="30">
        <v>229</v>
      </c>
    </row>
  </sheetData>
  <mergeCells count="1">
    <mergeCell ref="F6:K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BEC5-CD8F-4352-8BDD-22720F1CE024}">
  <dimension ref="A3:L129"/>
  <sheetViews>
    <sheetView topLeftCell="B1" workbookViewId="0">
      <selection activeCell="H17" sqref="H17"/>
    </sheetView>
  </sheetViews>
  <sheetFormatPr defaultRowHeight="14.4" x14ac:dyDescent="0.3"/>
  <cols>
    <col min="1" max="1" width="20.44140625" bestFit="1" customWidth="1"/>
    <col min="2" max="2" width="17.33203125" bestFit="1" customWidth="1"/>
    <col min="3" max="3" width="12.21875" bestFit="1" customWidth="1"/>
    <col min="4" max="4" width="14.44140625" bestFit="1" customWidth="1"/>
    <col min="5" max="5" width="11.33203125" bestFit="1" customWidth="1"/>
    <col min="6" max="6" width="18.109375" bestFit="1" customWidth="1"/>
    <col min="7" max="7" width="15.77734375" bestFit="1" customWidth="1"/>
    <col min="8" max="8" width="12.109375" bestFit="1" customWidth="1"/>
    <col min="9" max="9" width="9.77734375" bestFit="1" customWidth="1"/>
    <col min="10" max="10" width="19" customWidth="1"/>
    <col min="11" max="11" width="10.5546875" bestFit="1" customWidth="1"/>
  </cols>
  <sheetData>
    <row r="3" spans="1:12" x14ac:dyDescent="0.3">
      <c r="A3" s="27" t="s">
        <v>493</v>
      </c>
      <c r="B3" s="27" t="s">
        <v>3</v>
      </c>
      <c r="C3" t="s">
        <v>672</v>
      </c>
      <c r="D3" s="90" t="s">
        <v>676</v>
      </c>
      <c r="E3" s="90" t="s">
        <v>677</v>
      </c>
      <c r="F3" s="90" t="s">
        <v>678</v>
      </c>
      <c r="G3" s="90" t="s">
        <v>679</v>
      </c>
    </row>
    <row r="4" spans="1:12" ht="28.8" x14ac:dyDescent="0.3">
      <c r="A4" t="s">
        <v>522</v>
      </c>
      <c r="B4" t="s">
        <v>11</v>
      </c>
      <c r="C4" s="30">
        <v>2</v>
      </c>
      <c r="D4">
        <f>_xlfn.XLOOKUP(B4, $J$4:$J$14, $K$4:$K$14)</f>
        <v>2</v>
      </c>
      <c r="E4">
        <f>_xlfn.XLOOKUP(B4, $J$4:$J$14, $L$4:$L$14)</f>
        <v>2</v>
      </c>
      <c r="F4">
        <f>(C4 * D4) + E4</f>
        <v>6</v>
      </c>
      <c r="G4" t="str">
        <f>IF(F4&lt;40,"Under-utilized",
 IF(F4&lt;=50,"Optimal","Burnout"))</f>
        <v>Under-utilized</v>
      </c>
      <c r="J4" s="79" t="s">
        <v>3</v>
      </c>
      <c r="K4" s="89" t="s">
        <v>673</v>
      </c>
      <c r="L4" s="80" t="s">
        <v>675</v>
      </c>
    </row>
    <row r="5" spans="1:12" x14ac:dyDescent="0.3">
      <c r="A5" t="s">
        <v>16</v>
      </c>
      <c r="B5" t="s">
        <v>18</v>
      </c>
      <c r="C5" s="30">
        <v>2</v>
      </c>
      <c r="D5">
        <f t="shared" ref="D5:D68" si="0">_xlfn.XLOOKUP(B5, $J$4:$J$14, $K$4:$K$14)</f>
        <v>4</v>
      </c>
      <c r="E5">
        <f t="shared" ref="E5:E68" si="1">_xlfn.XLOOKUP(B5, $J$4:$J$14, $L$4:$L$14)</f>
        <v>2</v>
      </c>
      <c r="F5">
        <f t="shared" ref="F5:F68" si="2">(C5 * D5) + E5</f>
        <v>10</v>
      </c>
      <c r="G5" t="str">
        <f t="shared" ref="G5:G68" si="3">IF(F5&lt;40,"Under-utilized",
 IF(F5&lt;=50,"Optimal","Burnout"))</f>
        <v>Under-utilized</v>
      </c>
      <c r="J5" s="85" t="s">
        <v>54</v>
      </c>
      <c r="K5" s="86">
        <v>5</v>
      </c>
      <c r="L5" s="21">
        <v>0</v>
      </c>
    </row>
    <row r="6" spans="1:12" x14ac:dyDescent="0.3">
      <c r="A6" t="s">
        <v>525</v>
      </c>
      <c r="B6" t="s">
        <v>24</v>
      </c>
      <c r="C6" s="30">
        <v>2</v>
      </c>
      <c r="D6">
        <f t="shared" si="0"/>
        <v>3</v>
      </c>
      <c r="E6">
        <f t="shared" si="1"/>
        <v>2</v>
      </c>
      <c r="F6">
        <f t="shared" si="2"/>
        <v>8</v>
      </c>
      <c r="G6" t="str">
        <f t="shared" si="3"/>
        <v>Under-utilized</v>
      </c>
      <c r="J6" s="81" t="s">
        <v>31</v>
      </c>
      <c r="K6" s="87">
        <v>5</v>
      </c>
      <c r="L6" s="82">
        <v>0</v>
      </c>
    </row>
    <row r="7" spans="1:12" ht="28.8" x14ac:dyDescent="0.3">
      <c r="A7" t="s">
        <v>527</v>
      </c>
      <c r="B7" t="s">
        <v>31</v>
      </c>
      <c r="C7" s="30">
        <v>2</v>
      </c>
      <c r="D7">
        <f t="shared" si="0"/>
        <v>5</v>
      </c>
      <c r="E7">
        <f t="shared" si="1"/>
        <v>0</v>
      </c>
      <c r="F7">
        <f t="shared" si="2"/>
        <v>10</v>
      </c>
      <c r="G7" t="str">
        <f t="shared" si="3"/>
        <v>Under-utilized</v>
      </c>
      <c r="J7" s="81" t="s">
        <v>24</v>
      </c>
      <c r="K7" s="87">
        <v>3</v>
      </c>
      <c r="L7" s="82">
        <v>2</v>
      </c>
    </row>
    <row r="8" spans="1:12" x14ac:dyDescent="0.3">
      <c r="A8" t="s">
        <v>529</v>
      </c>
      <c r="B8" t="s">
        <v>36</v>
      </c>
      <c r="C8" s="30">
        <v>3</v>
      </c>
      <c r="D8">
        <f t="shared" si="0"/>
        <v>2</v>
      </c>
      <c r="E8">
        <f t="shared" si="1"/>
        <v>2</v>
      </c>
      <c r="F8">
        <f t="shared" si="2"/>
        <v>8</v>
      </c>
      <c r="G8" t="str">
        <f t="shared" si="3"/>
        <v>Under-utilized</v>
      </c>
      <c r="J8" s="81" t="s">
        <v>18</v>
      </c>
      <c r="K8" s="87">
        <v>4</v>
      </c>
      <c r="L8" s="82">
        <v>2</v>
      </c>
    </row>
    <row r="9" spans="1:12" ht="28.8" x14ac:dyDescent="0.3">
      <c r="A9" t="s">
        <v>531</v>
      </c>
      <c r="B9" t="s">
        <v>42</v>
      </c>
      <c r="C9" s="30">
        <v>2</v>
      </c>
      <c r="D9">
        <f t="shared" si="0"/>
        <v>2</v>
      </c>
      <c r="E9">
        <f t="shared" si="1"/>
        <v>2</v>
      </c>
      <c r="F9">
        <f t="shared" si="2"/>
        <v>6</v>
      </c>
      <c r="G9" t="str">
        <f t="shared" si="3"/>
        <v>Under-utilized</v>
      </c>
      <c r="J9" s="81" t="s">
        <v>42</v>
      </c>
      <c r="K9" s="87">
        <v>2</v>
      </c>
      <c r="L9" s="82">
        <v>2</v>
      </c>
    </row>
    <row r="10" spans="1:12" x14ac:dyDescent="0.3">
      <c r="A10" t="s">
        <v>533</v>
      </c>
      <c r="B10" t="s">
        <v>31</v>
      </c>
      <c r="C10" s="30">
        <v>1</v>
      </c>
      <c r="D10">
        <f t="shared" si="0"/>
        <v>5</v>
      </c>
      <c r="E10">
        <f t="shared" si="1"/>
        <v>0</v>
      </c>
      <c r="F10">
        <f t="shared" si="2"/>
        <v>5</v>
      </c>
      <c r="G10" t="str">
        <f t="shared" si="3"/>
        <v>Under-utilized</v>
      </c>
      <c r="J10" s="81" t="s">
        <v>346</v>
      </c>
      <c r="K10" s="87">
        <v>2</v>
      </c>
      <c r="L10" s="82">
        <v>2</v>
      </c>
    </row>
    <row r="11" spans="1:12" x14ac:dyDescent="0.3">
      <c r="A11" t="s">
        <v>535</v>
      </c>
      <c r="B11" t="s">
        <v>31</v>
      </c>
      <c r="C11" s="30">
        <v>2</v>
      </c>
      <c r="D11">
        <f t="shared" si="0"/>
        <v>5</v>
      </c>
      <c r="E11">
        <f t="shared" si="1"/>
        <v>0</v>
      </c>
      <c r="F11">
        <f t="shared" si="2"/>
        <v>10</v>
      </c>
      <c r="G11" t="str">
        <f t="shared" si="3"/>
        <v>Under-utilized</v>
      </c>
      <c r="J11" s="81" t="s">
        <v>11</v>
      </c>
      <c r="K11" s="87">
        <v>2</v>
      </c>
      <c r="L11" s="82">
        <v>2</v>
      </c>
    </row>
    <row r="12" spans="1:12" x14ac:dyDescent="0.3">
      <c r="A12" t="s">
        <v>536</v>
      </c>
      <c r="B12" t="s">
        <v>54</v>
      </c>
      <c r="C12" s="30">
        <v>1</v>
      </c>
      <c r="D12">
        <f t="shared" si="0"/>
        <v>5</v>
      </c>
      <c r="E12">
        <f t="shared" si="1"/>
        <v>0</v>
      </c>
      <c r="F12">
        <f t="shared" si="2"/>
        <v>5</v>
      </c>
      <c r="G12" t="str">
        <f t="shared" si="3"/>
        <v>Under-utilized</v>
      </c>
      <c r="J12" s="81" t="s">
        <v>36</v>
      </c>
      <c r="K12" s="87">
        <v>2</v>
      </c>
      <c r="L12" s="82">
        <v>2</v>
      </c>
    </row>
    <row r="13" spans="1:12" x14ac:dyDescent="0.3">
      <c r="A13" t="s">
        <v>537</v>
      </c>
      <c r="B13" t="s">
        <v>31</v>
      </c>
      <c r="C13" s="30">
        <v>1</v>
      </c>
      <c r="D13">
        <f t="shared" si="0"/>
        <v>5</v>
      </c>
      <c r="E13">
        <f t="shared" si="1"/>
        <v>0</v>
      </c>
      <c r="F13">
        <f t="shared" si="2"/>
        <v>5</v>
      </c>
      <c r="G13" t="str">
        <f t="shared" si="3"/>
        <v>Under-utilized</v>
      </c>
      <c r="J13" s="81" t="s">
        <v>674</v>
      </c>
      <c r="K13" s="87">
        <v>2</v>
      </c>
      <c r="L13" s="82">
        <v>2</v>
      </c>
    </row>
    <row r="14" spans="1:12" x14ac:dyDescent="0.3">
      <c r="A14" t="s">
        <v>539</v>
      </c>
      <c r="B14" t="s">
        <v>31</v>
      </c>
      <c r="C14" s="30">
        <v>2</v>
      </c>
      <c r="D14">
        <f t="shared" si="0"/>
        <v>5</v>
      </c>
      <c r="E14">
        <f t="shared" si="1"/>
        <v>0</v>
      </c>
      <c r="F14">
        <f t="shared" si="2"/>
        <v>10</v>
      </c>
      <c r="G14" t="str">
        <f t="shared" si="3"/>
        <v>Under-utilized</v>
      </c>
      <c r="J14" s="83" t="s">
        <v>170</v>
      </c>
      <c r="K14" s="88">
        <v>2</v>
      </c>
      <c r="L14" s="84">
        <v>2</v>
      </c>
    </row>
    <row r="15" spans="1:12" x14ac:dyDescent="0.3">
      <c r="A15" t="s">
        <v>541</v>
      </c>
      <c r="B15" t="s">
        <v>54</v>
      </c>
      <c r="C15" s="30">
        <v>1</v>
      </c>
      <c r="D15">
        <f t="shared" si="0"/>
        <v>5</v>
      </c>
      <c r="E15">
        <f t="shared" si="1"/>
        <v>0</v>
      </c>
      <c r="F15">
        <f t="shared" si="2"/>
        <v>5</v>
      </c>
      <c r="G15" t="str">
        <f t="shared" si="3"/>
        <v>Under-utilized</v>
      </c>
    </row>
    <row r="16" spans="1:12" x14ac:dyDescent="0.3">
      <c r="A16" t="s">
        <v>67</v>
      </c>
      <c r="B16" t="s">
        <v>11</v>
      </c>
      <c r="C16" s="30">
        <v>2</v>
      </c>
      <c r="D16">
        <f t="shared" si="0"/>
        <v>2</v>
      </c>
      <c r="E16">
        <f t="shared" si="1"/>
        <v>2</v>
      </c>
      <c r="F16">
        <f t="shared" si="2"/>
        <v>6</v>
      </c>
      <c r="G16" t="str">
        <f t="shared" si="3"/>
        <v>Under-utilized</v>
      </c>
    </row>
    <row r="17" spans="1:12" x14ac:dyDescent="0.3">
      <c r="A17" t="s">
        <v>543</v>
      </c>
      <c r="B17" t="s">
        <v>31</v>
      </c>
      <c r="C17" s="30">
        <v>2</v>
      </c>
      <c r="D17">
        <f t="shared" si="0"/>
        <v>5</v>
      </c>
      <c r="E17">
        <f t="shared" si="1"/>
        <v>0</v>
      </c>
      <c r="F17">
        <f t="shared" si="2"/>
        <v>10</v>
      </c>
      <c r="G17" t="str">
        <f t="shared" si="3"/>
        <v>Under-utilized</v>
      </c>
    </row>
    <row r="18" spans="1:12" x14ac:dyDescent="0.3">
      <c r="A18" t="s">
        <v>545</v>
      </c>
      <c r="B18" t="s">
        <v>24</v>
      </c>
      <c r="C18" s="30">
        <v>3</v>
      </c>
      <c r="D18">
        <f t="shared" si="0"/>
        <v>3</v>
      </c>
      <c r="E18">
        <f t="shared" si="1"/>
        <v>2</v>
      </c>
      <c r="F18">
        <f t="shared" si="2"/>
        <v>11</v>
      </c>
      <c r="G18" t="str">
        <f t="shared" si="3"/>
        <v>Under-utilized</v>
      </c>
      <c r="J18" s="44" t="s">
        <v>680</v>
      </c>
      <c r="K18" s="44"/>
      <c r="L18" s="44"/>
    </row>
    <row r="19" spans="1:12" x14ac:dyDescent="0.3">
      <c r="A19" t="s">
        <v>79</v>
      </c>
      <c r="B19" t="s">
        <v>54</v>
      </c>
      <c r="C19" s="30">
        <v>2</v>
      </c>
      <c r="D19">
        <f t="shared" si="0"/>
        <v>5</v>
      </c>
      <c r="E19">
        <f t="shared" si="1"/>
        <v>0</v>
      </c>
      <c r="F19">
        <f t="shared" si="2"/>
        <v>10</v>
      </c>
      <c r="G19" t="str">
        <f t="shared" si="3"/>
        <v>Under-utilized</v>
      </c>
      <c r="J19" s="44"/>
      <c r="K19" s="44"/>
      <c r="L19" s="44"/>
    </row>
    <row r="20" spans="1:12" x14ac:dyDescent="0.3">
      <c r="A20" t="s">
        <v>548</v>
      </c>
      <c r="B20" t="s">
        <v>31</v>
      </c>
      <c r="C20" s="30">
        <v>2</v>
      </c>
      <c r="D20">
        <f t="shared" si="0"/>
        <v>5</v>
      </c>
      <c r="E20">
        <f t="shared" si="1"/>
        <v>0</v>
      </c>
      <c r="F20">
        <f t="shared" si="2"/>
        <v>10</v>
      </c>
      <c r="G20" t="str">
        <f t="shared" si="3"/>
        <v>Under-utilized</v>
      </c>
      <c r="J20" s="44"/>
      <c r="K20" s="44"/>
      <c r="L20" s="44"/>
    </row>
    <row r="21" spans="1:12" x14ac:dyDescent="0.3">
      <c r="A21" t="s">
        <v>550</v>
      </c>
      <c r="B21" t="s">
        <v>54</v>
      </c>
      <c r="C21" s="30">
        <v>1</v>
      </c>
      <c r="D21">
        <f t="shared" si="0"/>
        <v>5</v>
      </c>
      <c r="E21">
        <f t="shared" si="1"/>
        <v>0</v>
      </c>
      <c r="F21">
        <f t="shared" si="2"/>
        <v>5</v>
      </c>
      <c r="G21" t="str">
        <f t="shared" si="3"/>
        <v>Under-utilized</v>
      </c>
      <c r="J21" s="44"/>
      <c r="K21" s="44"/>
      <c r="L21" s="44"/>
    </row>
    <row r="22" spans="1:12" x14ac:dyDescent="0.3">
      <c r="A22" t="s">
        <v>551</v>
      </c>
      <c r="B22" t="s">
        <v>31</v>
      </c>
      <c r="C22" s="30">
        <v>2</v>
      </c>
      <c r="D22">
        <f t="shared" si="0"/>
        <v>5</v>
      </c>
      <c r="E22">
        <f t="shared" si="1"/>
        <v>0</v>
      </c>
      <c r="F22">
        <f t="shared" si="2"/>
        <v>10</v>
      </c>
      <c r="G22" t="str">
        <f t="shared" si="3"/>
        <v>Under-utilized</v>
      </c>
    </row>
    <row r="23" spans="1:12" x14ac:dyDescent="0.3">
      <c r="A23" t="s">
        <v>553</v>
      </c>
      <c r="B23" t="s">
        <v>36</v>
      </c>
      <c r="C23" s="30">
        <v>3</v>
      </c>
      <c r="D23">
        <f t="shared" si="0"/>
        <v>2</v>
      </c>
      <c r="E23">
        <f t="shared" si="1"/>
        <v>2</v>
      </c>
      <c r="F23">
        <f t="shared" si="2"/>
        <v>8</v>
      </c>
      <c r="G23" t="str">
        <f t="shared" si="3"/>
        <v>Under-utilized</v>
      </c>
    </row>
    <row r="24" spans="1:12" x14ac:dyDescent="0.3">
      <c r="A24" t="s">
        <v>95</v>
      </c>
      <c r="B24" t="s">
        <v>54</v>
      </c>
      <c r="C24" s="30">
        <v>1</v>
      </c>
      <c r="D24">
        <f t="shared" si="0"/>
        <v>5</v>
      </c>
      <c r="E24">
        <f t="shared" si="1"/>
        <v>0</v>
      </c>
      <c r="F24">
        <f t="shared" si="2"/>
        <v>5</v>
      </c>
      <c r="G24" t="str">
        <f t="shared" si="3"/>
        <v>Under-utilized</v>
      </c>
    </row>
    <row r="25" spans="1:12" x14ac:dyDescent="0.3">
      <c r="A25" t="s">
        <v>554</v>
      </c>
      <c r="B25" t="s">
        <v>31</v>
      </c>
      <c r="C25" s="30">
        <v>2</v>
      </c>
      <c r="D25">
        <f t="shared" si="0"/>
        <v>5</v>
      </c>
      <c r="E25">
        <f t="shared" si="1"/>
        <v>0</v>
      </c>
      <c r="F25">
        <f t="shared" si="2"/>
        <v>10</v>
      </c>
      <c r="G25" t="str">
        <f t="shared" si="3"/>
        <v>Under-utilized</v>
      </c>
    </row>
    <row r="26" spans="1:12" x14ac:dyDescent="0.3">
      <c r="A26" t="s">
        <v>556</v>
      </c>
      <c r="B26" t="s">
        <v>24</v>
      </c>
      <c r="C26" s="30">
        <v>2</v>
      </c>
      <c r="D26">
        <f t="shared" si="0"/>
        <v>3</v>
      </c>
      <c r="E26">
        <f t="shared" si="1"/>
        <v>2</v>
      </c>
      <c r="F26">
        <f t="shared" si="2"/>
        <v>8</v>
      </c>
      <c r="G26" t="str">
        <f t="shared" si="3"/>
        <v>Under-utilized</v>
      </c>
    </row>
    <row r="27" spans="1:12" x14ac:dyDescent="0.3">
      <c r="A27" t="s">
        <v>557</v>
      </c>
      <c r="B27" t="s">
        <v>54</v>
      </c>
      <c r="C27" s="30">
        <v>2</v>
      </c>
      <c r="D27">
        <f t="shared" si="0"/>
        <v>5</v>
      </c>
      <c r="E27">
        <f t="shared" si="1"/>
        <v>0</v>
      </c>
      <c r="F27">
        <f t="shared" si="2"/>
        <v>10</v>
      </c>
      <c r="G27" t="str">
        <f t="shared" si="3"/>
        <v>Under-utilized</v>
      </c>
    </row>
    <row r="28" spans="1:12" x14ac:dyDescent="0.3">
      <c r="A28" t="s">
        <v>559</v>
      </c>
      <c r="B28" t="s">
        <v>31</v>
      </c>
      <c r="C28" s="30">
        <v>2</v>
      </c>
      <c r="D28">
        <f t="shared" si="0"/>
        <v>5</v>
      </c>
      <c r="E28">
        <f t="shared" si="1"/>
        <v>0</v>
      </c>
      <c r="F28">
        <f t="shared" si="2"/>
        <v>10</v>
      </c>
      <c r="G28" t="str">
        <f t="shared" si="3"/>
        <v>Under-utilized</v>
      </c>
    </row>
    <row r="29" spans="1:12" x14ac:dyDescent="0.3">
      <c r="A29" t="s">
        <v>112</v>
      </c>
      <c r="B29" t="s">
        <v>36</v>
      </c>
      <c r="C29" s="30">
        <v>1</v>
      </c>
      <c r="D29">
        <f t="shared" si="0"/>
        <v>2</v>
      </c>
      <c r="E29">
        <f t="shared" si="1"/>
        <v>2</v>
      </c>
      <c r="F29">
        <f t="shared" si="2"/>
        <v>4</v>
      </c>
      <c r="G29" t="str">
        <f t="shared" si="3"/>
        <v>Under-utilized</v>
      </c>
    </row>
    <row r="30" spans="1:12" x14ac:dyDescent="0.3">
      <c r="A30" t="s">
        <v>561</v>
      </c>
      <c r="B30" t="s">
        <v>31</v>
      </c>
      <c r="C30" s="30">
        <v>2</v>
      </c>
      <c r="D30">
        <f t="shared" si="0"/>
        <v>5</v>
      </c>
      <c r="E30">
        <f t="shared" si="1"/>
        <v>0</v>
      </c>
      <c r="F30">
        <f t="shared" si="2"/>
        <v>10</v>
      </c>
      <c r="G30" t="str">
        <f t="shared" si="3"/>
        <v>Under-utilized</v>
      </c>
    </row>
    <row r="31" spans="1:12" x14ac:dyDescent="0.3">
      <c r="A31" t="s">
        <v>563</v>
      </c>
      <c r="B31" t="s">
        <v>54</v>
      </c>
      <c r="C31" s="30">
        <v>2</v>
      </c>
      <c r="D31">
        <f t="shared" si="0"/>
        <v>5</v>
      </c>
      <c r="E31">
        <f t="shared" si="1"/>
        <v>0</v>
      </c>
      <c r="F31">
        <f t="shared" si="2"/>
        <v>10</v>
      </c>
      <c r="G31" t="str">
        <f t="shared" si="3"/>
        <v>Under-utilized</v>
      </c>
    </row>
    <row r="32" spans="1:12" x14ac:dyDescent="0.3">
      <c r="A32" t="s">
        <v>565</v>
      </c>
      <c r="B32" t="s">
        <v>24</v>
      </c>
      <c r="C32" s="30">
        <v>2</v>
      </c>
      <c r="D32">
        <f t="shared" si="0"/>
        <v>3</v>
      </c>
      <c r="E32">
        <f t="shared" si="1"/>
        <v>2</v>
      </c>
      <c r="F32">
        <f t="shared" si="2"/>
        <v>8</v>
      </c>
      <c r="G32" t="str">
        <f t="shared" si="3"/>
        <v>Under-utilized</v>
      </c>
    </row>
    <row r="33" spans="1:7" x14ac:dyDescent="0.3">
      <c r="A33" t="s">
        <v>567</v>
      </c>
      <c r="B33" t="s">
        <v>54</v>
      </c>
      <c r="C33" s="30">
        <v>1</v>
      </c>
      <c r="D33">
        <f t="shared" si="0"/>
        <v>5</v>
      </c>
      <c r="E33">
        <f t="shared" si="1"/>
        <v>0</v>
      </c>
      <c r="F33">
        <f t="shared" si="2"/>
        <v>5</v>
      </c>
      <c r="G33" t="str">
        <f t="shared" si="3"/>
        <v>Under-utilized</v>
      </c>
    </row>
    <row r="34" spans="1:7" x14ac:dyDescent="0.3">
      <c r="A34" t="s">
        <v>127</v>
      </c>
      <c r="B34" t="s">
        <v>31</v>
      </c>
      <c r="C34" s="30">
        <v>2</v>
      </c>
      <c r="D34">
        <f t="shared" si="0"/>
        <v>5</v>
      </c>
      <c r="E34">
        <f t="shared" si="1"/>
        <v>0</v>
      </c>
      <c r="F34">
        <f t="shared" si="2"/>
        <v>10</v>
      </c>
      <c r="G34" t="str">
        <f t="shared" si="3"/>
        <v>Under-utilized</v>
      </c>
    </row>
    <row r="35" spans="1:7" x14ac:dyDescent="0.3">
      <c r="A35" t="s">
        <v>569</v>
      </c>
      <c r="B35" t="s">
        <v>36</v>
      </c>
      <c r="C35" s="30">
        <v>2</v>
      </c>
      <c r="D35">
        <f t="shared" si="0"/>
        <v>2</v>
      </c>
      <c r="E35">
        <f t="shared" si="1"/>
        <v>2</v>
      </c>
      <c r="F35">
        <f t="shared" si="2"/>
        <v>6</v>
      </c>
      <c r="G35" t="str">
        <f t="shared" si="3"/>
        <v>Under-utilized</v>
      </c>
    </row>
    <row r="36" spans="1:7" x14ac:dyDescent="0.3">
      <c r="A36" t="s">
        <v>570</v>
      </c>
      <c r="B36" t="s">
        <v>31</v>
      </c>
      <c r="C36" s="30">
        <v>1</v>
      </c>
      <c r="D36">
        <f t="shared" si="0"/>
        <v>5</v>
      </c>
      <c r="E36">
        <f t="shared" si="1"/>
        <v>0</v>
      </c>
      <c r="F36">
        <f t="shared" si="2"/>
        <v>5</v>
      </c>
      <c r="G36" t="str">
        <f t="shared" si="3"/>
        <v>Under-utilized</v>
      </c>
    </row>
    <row r="37" spans="1:7" x14ac:dyDescent="0.3">
      <c r="A37" t="s">
        <v>572</v>
      </c>
      <c r="B37" t="s">
        <v>54</v>
      </c>
      <c r="C37" s="30">
        <v>2</v>
      </c>
      <c r="D37">
        <f t="shared" si="0"/>
        <v>5</v>
      </c>
      <c r="E37">
        <f t="shared" si="1"/>
        <v>0</v>
      </c>
      <c r="F37">
        <f t="shared" si="2"/>
        <v>10</v>
      </c>
      <c r="G37" t="str">
        <f t="shared" si="3"/>
        <v>Under-utilized</v>
      </c>
    </row>
    <row r="38" spans="1:7" x14ac:dyDescent="0.3">
      <c r="A38" t="s">
        <v>574</v>
      </c>
      <c r="B38" t="s">
        <v>31</v>
      </c>
      <c r="C38" s="30">
        <v>2</v>
      </c>
      <c r="D38">
        <f t="shared" si="0"/>
        <v>5</v>
      </c>
      <c r="E38">
        <f t="shared" si="1"/>
        <v>0</v>
      </c>
      <c r="F38">
        <f t="shared" si="2"/>
        <v>10</v>
      </c>
      <c r="G38" t="str">
        <f t="shared" si="3"/>
        <v>Under-utilized</v>
      </c>
    </row>
    <row r="39" spans="1:7" x14ac:dyDescent="0.3">
      <c r="A39" t="s">
        <v>143</v>
      </c>
      <c r="B39" t="s">
        <v>24</v>
      </c>
      <c r="C39" s="30">
        <v>3</v>
      </c>
      <c r="D39">
        <f t="shared" si="0"/>
        <v>3</v>
      </c>
      <c r="E39">
        <f t="shared" si="1"/>
        <v>2</v>
      </c>
      <c r="F39">
        <f t="shared" si="2"/>
        <v>11</v>
      </c>
      <c r="G39" t="str">
        <f t="shared" si="3"/>
        <v>Under-utilized</v>
      </c>
    </row>
    <row r="40" spans="1:7" x14ac:dyDescent="0.3">
      <c r="A40" t="s">
        <v>577</v>
      </c>
      <c r="B40" t="s">
        <v>31</v>
      </c>
      <c r="C40" s="30">
        <v>2</v>
      </c>
      <c r="D40">
        <f t="shared" si="0"/>
        <v>5</v>
      </c>
      <c r="E40">
        <f t="shared" si="1"/>
        <v>0</v>
      </c>
      <c r="F40">
        <f t="shared" si="2"/>
        <v>10</v>
      </c>
      <c r="G40" t="str">
        <f t="shared" si="3"/>
        <v>Under-utilized</v>
      </c>
    </row>
    <row r="41" spans="1:7" x14ac:dyDescent="0.3">
      <c r="A41" t="s">
        <v>578</v>
      </c>
      <c r="B41" t="s">
        <v>54</v>
      </c>
      <c r="C41" s="30">
        <v>1</v>
      </c>
      <c r="D41">
        <f t="shared" si="0"/>
        <v>5</v>
      </c>
      <c r="E41">
        <f t="shared" si="1"/>
        <v>0</v>
      </c>
      <c r="F41">
        <f t="shared" si="2"/>
        <v>5</v>
      </c>
      <c r="G41" t="str">
        <f t="shared" si="3"/>
        <v>Under-utilized</v>
      </c>
    </row>
    <row r="42" spans="1:7" x14ac:dyDescent="0.3">
      <c r="A42" t="s">
        <v>579</v>
      </c>
      <c r="B42" t="s">
        <v>36</v>
      </c>
      <c r="C42" s="30">
        <v>2</v>
      </c>
      <c r="D42">
        <f t="shared" si="0"/>
        <v>2</v>
      </c>
      <c r="E42">
        <f t="shared" si="1"/>
        <v>2</v>
      </c>
      <c r="F42">
        <f t="shared" si="2"/>
        <v>6</v>
      </c>
      <c r="G42" t="str">
        <f t="shared" si="3"/>
        <v>Under-utilized</v>
      </c>
    </row>
    <row r="43" spans="1:7" x14ac:dyDescent="0.3">
      <c r="A43" t="s">
        <v>581</v>
      </c>
      <c r="B43" t="s">
        <v>31</v>
      </c>
      <c r="C43" s="30">
        <v>2</v>
      </c>
      <c r="D43">
        <f t="shared" si="0"/>
        <v>5</v>
      </c>
      <c r="E43">
        <f t="shared" si="1"/>
        <v>0</v>
      </c>
      <c r="F43">
        <f t="shared" si="2"/>
        <v>10</v>
      </c>
      <c r="G43" t="str">
        <f t="shared" si="3"/>
        <v>Under-utilized</v>
      </c>
    </row>
    <row r="44" spans="1:7" x14ac:dyDescent="0.3">
      <c r="A44" t="s">
        <v>157</v>
      </c>
      <c r="B44" t="s">
        <v>54</v>
      </c>
      <c r="C44" s="30">
        <v>1</v>
      </c>
      <c r="D44">
        <f t="shared" si="0"/>
        <v>5</v>
      </c>
      <c r="E44">
        <f t="shared" si="1"/>
        <v>0</v>
      </c>
      <c r="F44">
        <f t="shared" si="2"/>
        <v>5</v>
      </c>
      <c r="G44" t="str">
        <f t="shared" si="3"/>
        <v>Under-utilized</v>
      </c>
    </row>
    <row r="45" spans="1:7" x14ac:dyDescent="0.3">
      <c r="A45" t="s">
        <v>582</v>
      </c>
      <c r="B45" t="s">
        <v>31</v>
      </c>
      <c r="C45" s="30">
        <v>2</v>
      </c>
      <c r="D45">
        <f t="shared" si="0"/>
        <v>5</v>
      </c>
      <c r="E45">
        <f t="shared" si="1"/>
        <v>0</v>
      </c>
      <c r="F45">
        <f t="shared" si="2"/>
        <v>10</v>
      </c>
      <c r="G45" t="str">
        <f t="shared" si="3"/>
        <v>Under-utilized</v>
      </c>
    </row>
    <row r="46" spans="1:7" x14ac:dyDescent="0.3">
      <c r="A46" t="s">
        <v>583</v>
      </c>
      <c r="B46" t="s">
        <v>24</v>
      </c>
      <c r="C46" s="30">
        <v>2</v>
      </c>
      <c r="D46">
        <f t="shared" si="0"/>
        <v>3</v>
      </c>
      <c r="E46">
        <f t="shared" si="1"/>
        <v>2</v>
      </c>
      <c r="F46">
        <f t="shared" si="2"/>
        <v>8</v>
      </c>
      <c r="G46" t="str">
        <f t="shared" si="3"/>
        <v>Under-utilized</v>
      </c>
    </row>
    <row r="47" spans="1:7" x14ac:dyDescent="0.3">
      <c r="A47" t="s">
        <v>584</v>
      </c>
      <c r="B47" t="s">
        <v>31</v>
      </c>
      <c r="C47" s="30">
        <v>1</v>
      </c>
      <c r="D47">
        <f t="shared" si="0"/>
        <v>5</v>
      </c>
      <c r="E47">
        <f t="shared" si="1"/>
        <v>0</v>
      </c>
      <c r="F47">
        <f t="shared" si="2"/>
        <v>5</v>
      </c>
      <c r="G47" t="str">
        <f t="shared" si="3"/>
        <v>Under-utilized</v>
      </c>
    </row>
    <row r="48" spans="1:7" x14ac:dyDescent="0.3">
      <c r="A48" t="s">
        <v>586</v>
      </c>
      <c r="B48" t="s">
        <v>170</v>
      </c>
      <c r="C48" s="30">
        <v>2</v>
      </c>
      <c r="D48">
        <f t="shared" si="0"/>
        <v>2</v>
      </c>
      <c r="E48">
        <f t="shared" si="1"/>
        <v>2</v>
      </c>
      <c r="F48">
        <f t="shared" si="2"/>
        <v>6</v>
      </c>
      <c r="G48" t="str">
        <f t="shared" si="3"/>
        <v>Under-utilized</v>
      </c>
    </row>
    <row r="49" spans="1:7" x14ac:dyDescent="0.3">
      <c r="A49" t="s">
        <v>171</v>
      </c>
      <c r="B49" t="s">
        <v>54</v>
      </c>
      <c r="C49" s="30">
        <v>4</v>
      </c>
      <c r="D49">
        <f t="shared" si="0"/>
        <v>5</v>
      </c>
      <c r="E49">
        <f t="shared" si="1"/>
        <v>0</v>
      </c>
      <c r="F49">
        <f t="shared" si="2"/>
        <v>20</v>
      </c>
      <c r="G49" t="str">
        <f t="shared" si="3"/>
        <v>Under-utilized</v>
      </c>
    </row>
    <row r="50" spans="1:7" x14ac:dyDescent="0.3">
      <c r="A50" t="s">
        <v>588</v>
      </c>
      <c r="B50" t="s">
        <v>31</v>
      </c>
      <c r="C50" s="30">
        <v>2</v>
      </c>
      <c r="D50">
        <f t="shared" si="0"/>
        <v>5</v>
      </c>
      <c r="E50">
        <f t="shared" si="1"/>
        <v>0</v>
      </c>
      <c r="F50">
        <f t="shared" si="2"/>
        <v>10</v>
      </c>
      <c r="G50" t="str">
        <f t="shared" si="3"/>
        <v>Under-utilized</v>
      </c>
    </row>
    <row r="51" spans="1:7" x14ac:dyDescent="0.3">
      <c r="A51" t="s">
        <v>590</v>
      </c>
      <c r="B51" t="s">
        <v>54</v>
      </c>
      <c r="C51" s="30">
        <v>2</v>
      </c>
      <c r="D51">
        <f t="shared" si="0"/>
        <v>5</v>
      </c>
      <c r="E51">
        <f t="shared" si="1"/>
        <v>0</v>
      </c>
      <c r="F51">
        <f t="shared" si="2"/>
        <v>10</v>
      </c>
      <c r="G51" t="str">
        <f t="shared" si="3"/>
        <v>Under-utilized</v>
      </c>
    </row>
    <row r="52" spans="1:7" x14ac:dyDescent="0.3">
      <c r="A52" t="s">
        <v>592</v>
      </c>
      <c r="B52" t="s">
        <v>42</v>
      </c>
      <c r="C52" s="30">
        <v>2</v>
      </c>
      <c r="D52">
        <f t="shared" si="0"/>
        <v>2</v>
      </c>
      <c r="E52">
        <f t="shared" si="1"/>
        <v>2</v>
      </c>
      <c r="F52">
        <f t="shared" si="2"/>
        <v>6</v>
      </c>
      <c r="G52" t="str">
        <f t="shared" si="3"/>
        <v>Under-utilized</v>
      </c>
    </row>
    <row r="53" spans="1:7" x14ac:dyDescent="0.3">
      <c r="A53" t="s">
        <v>594</v>
      </c>
      <c r="B53" t="s">
        <v>54</v>
      </c>
      <c r="C53" s="30">
        <v>1</v>
      </c>
      <c r="D53">
        <f t="shared" si="0"/>
        <v>5</v>
      </c>
      <c r="E53">
        <f t="shared" si="1"/>
        <v>0</v>
      </c>
      <c r="F53">
        <f t="shared" si="2"/>
        <v>5</v>
      </c>
      <c r="G53" t="str">
        <f t="shared" si="3"/>
        <v>Under-utilized</v>
      </c>
    </row>
    <row r="54" spans="1:7" x14ac:dyDescent="0.3">
      <c r="A54" t="s">
        <v>596</v>
      </c>
      <c r="B54" t="s">
        <v>31</v>
      </c>
      <c r="C54" s="30">
        <v>2</v>
      </c>
      <c r="D54">
        <f t="shared" si="0"/>
        <v>5</v>
      </c>
      <c r="E54">
        <f t="shared" si="1"/>
        <v>0</v>
      </c>
      <c r="F54">
        <f t="shared" si="2"/>
        <v>10</v>
      </c>
      <c r="G54" t="str">
        <f t="shared" si="3"/>
        <v>Under-utilized</v>
      </c>
    </row>
    <row r="55" spans="1:7" x14ac:dyDescent="0.3">
      <c r="A55" t="s">
        <v>191</v>
      </c>
      <c r="B55" t="s">
        <v>54</v>
      </c>
      <c r="C55" s="30">
        <v>1</v>
      </c>
      <c r="D55">
        <f t="shared" si="0"/>
        <v>5</v>
      </c>
      <c r="E55">
        <f t="shared" si="1"/>
        <v>0</v>
      </c>
      <c r="F55">
        <f t="shared" si="2"/>
        <v>5</v>
      </c>
      <c r="G55" t="str">
        <f t="shared" si="3"/>
        <v>Under-utilized</v>
      </c>
    </row>
    <row r="56" spans="1:7" x14ac:dyDescent="0.3">
      <c r="A56" t="s">
        <v>597</v>
      </c>
      <c r="B56" t="s">
        <v>36</v>
      </c>
      <c r="C56" s="30">
        <v>2</v>
      </c>
      <c r="D56">
        <f t="shared" si="0"/>
        <v>2</v>
      </c>
      <c r="E56">
        <f t="shared" si="1"/>
        <v>2</v>
      </c>
      <c r="F56">
        <f t="shared" si="2"/>
        <v>6</v>
      </c>
      <c r="G56" t="str">
        <f t="shared" si="3"/>
        <v>Under-utilized</v>
      </c>
    </row>
    <row r="57" spans="1:7" x14ac:dyDescent="0.3">
      <c r="A57" t="s">
        <v>598</v>
      </c>
      <c r="B57" t="s">
        <v>31</v>
      </c>
      <c r="C57" s="30">
        <v>2</v>
      </c>
      <c r="D57">
        <f t="shared" si="0"/>
        <v>5</v>
      </c>
      <c r="E57">
        <f t="shared" si="1"/>
        <v>0</v>
      </c>
      <c r="F57">
        <f t="shared" si="2"/>
        <v>10</v>
      </c>
      <c r="G57" t="str">
        <f t="shared" si="3"/>
        <v>Under-utilized</v>
      </c>
    </row>
    <row r="58" spans="1:7" x14ac:dyDescent="0.3">
      <c r="A58" t="s">
        <v>599</v>
      </c>
      <c r="B58" t="s">
        <v>24</v>
      </c>
      <c r="C58" s="30">
        <v>2</v>
      </c>
      <c r="D58">
        <f t="shared" si="0"/>
        <v>3</v>
      </c>
      <c r="E58">
        <f t="shared" si="1"/>
        <v>2</v>
      </c>
      <c r="F58">
        <f t="shared" si="2"/>
        <v>8</v>
      </c>
      <c r="G58" t="str">
        <f t="shared" si="3"/>
        <v>Under-utilized</v>
      </c>
    </row>
    <row r="59" spans="1:7" x14ac:dyDescent="0.3">
      <c r="A59" t="s">
        <v>206</v>
      </c>
      <c r="B59" t="s">
        <v>31</v>
      </c>
      <c r="C59" s="30">
        <v>2</v>
      </c>
      <c r="D59">
        <f t="shared" si="0"/>
        <v>5</v>
      </c>
      <c r="E59">
        <f t="shared" si="1"/>
        <v>0</v>
      </c>
      <c r="F59">
        <f t="shared" si="2"/>
        <v>10</v>
      </c>
      <c r="G59" t="str">
        <f t="shared" si="3"/>
        <v>Under-utilized</v>
      </c>
    </row>
    <row r="60" spans="1:7" x14ac:dyDescent="0.3">
      <c r="A60" t="s">
        <v>600</v>
      </c>
      <c r="B60" t="s">
        <v>54</v>
      </c>
      <c r="C60" s="30">
        <v>2</v>
      </c>
      <c r="D60">
        <f t="shared" si="0"/>
        <v>5</v>
      </c>
      <c r="E60">
        <f t="shared" si="1"/>
        <v>0</v>
      </c>
      <c r="F60">
        <f t="shared" si="2"/>
        <v>10</v>
      </c>
      <c r="G60" t="str">
        <f t="shared" si="3"/>
        <v>Under-utilized</v>
      </c>
    </row>
    <row r="61" spans="1:7" x14ac:dyDescent="0.3">
      <c r="A61" t="s">
        <v>601</v>
      </c>
      <c r="B61" t="s">
        <v>31</v>
      </c>
      <c r="C61" s="30">
        <v>2</v>
      </c>
      <c r="D61">
        <f t="shared" si="0"/>
        <v>5</v>
      </c>
      <c r="E61">
        <f t="shared" si="1"/>
        <v>0</v>
      </c>
      <c r="F61">
        <f t="shared" si="2"/>
        <v>10</v>
      </c>
      <c r="G61" t="str">
        <f t="shared" si="3"/>
        <v>Under-utilized</v>
      </c>
    </row>
    <row r="62" spans="1:7" x14ac:dyDescent="0.3">
      <c r="A62" t="s">
        <v>602</v>
      </c>
      <c r="B62" t="s">
        <v>170</v>
      </c>
      <c r="C62" s="30">
        <v>3</v>
      </c>
      <c r="D62">
        <f t="shared" si="0"/>
        <v>2</v>
      </c>
      <c r="E62">
        <f t="shared" si="1"/>
        <v>2</v>
      </c>
      <c r="F62">
        <f t="shared" si="2"/>
        <v>8</v>
      </c>
      <c r="G62" t="str">
        <f t="shared" si="3"/>
        <v>Under-utilized</v>
      </c>
    </row>
    <row r="63" spans="1:7" x14ac:dyDescent="0.3">
      <c r="A63" t="s">
        <v>603</v>
      </c>
      <c r="B63" t="s">
        <v>54</v>
      </c>
      <c r="C63" s="30">
        <v>2</v>
      </c>
      <c r="D63">
        <f t="shared" si="0"/>
        <v>5</v>
      </c>
      <c r="E63">
        <f t="shared" si="1"/>
        <v>0</v>
      </c>
      <c r="F63">
        <f t="shared" si="2"/>
        <v>10</v>
      </c>
      <c r="G63" t="str">
        <f t="shared" si="3"/>
        <v>Under-utilized</v>
      </c>
    </row>
    <row r="64" spans="1:7" x14ac:dyDescent="0.3">
      <c r="A64" t="s">
        <v>222</v>
      </c>
      <c r="B64" t="s">
        <v>31</v>
      </c>
      <c r="C64" s="30">
        <v>2</v>
      </c>
      <c r="D64">
        <f t="shared" si="0"/>
        <v>5</v>
      </c>
      <c r="E64">
        <f t="shared" si="1"/>
        <v>0</v>
      </c>
      <c r="F64">
        <f t="shared" si="2"/>
        <v>10</v>
      </c>
      <c r="G64" t="str">
        <f t="shared" si="3"/>
        <v>Under-utilized</v>
      </c>
    </row>
    <row r="65" spans="1:7" x14ac:dyDescent="0.3">
      <c r="A65" t="s">
        <v>605</v>
      </c>
      <c r="B65" t="s">
        <v>31</v>
      </c>
      <c r="C65" s="30">
        <v>2</v>
      </c>
      <c r="D65">
        <f t="shared" si="0"/>
        <v>5</v>
      </c>
      <c r="E65">
        <f t="shared" si="1"/>
        <v>0</v>
      </c>
      <c r="F65">
        <f t="shared" si="2"/>
        <v>10</v>
      </c>
      <c r="G65" t="str">
        <f t="shared" si="3"/>
        <v>Under-utilized</v>
      </c>
    </row>
    <row r="66" spans="1:7" x14ac:dyDescent="0.3">
      <c r="A66" t="s">
        <v>606</v>
      </c>
      <c r="B66" t="s">
        <v>24</v>
      </c>
      <c r="C66" s="30">
        <v>3</v>
      </c>
      <c r="D66">
        <f t="shared" si="0"/>
        <v>3</v>
      </c>
      <c r="E66">
        <f t="shared" si="1"/>
        <v>2</v>
      </c>
      <c r="F66">
        <f t="shared" si="2"/>
        <v>11</v>
      </c>
      <c r="G66" t="str">
        <f t="shared" si="3"/>
        <v>Under-utilized</v>
      </c>
    </row>
    <row r="67" spans="1:7" x14ac:dyDescent="0.3">
      <c r="A67" t="s">
        <v>607</v>
      </c>
      <c r="B67" t="s">
        <v>54</v>
      </c>
      <c r="C67" s="30">
        <v>1</v>
      </c>
      <c r="D67">
        <f t="shared" si="0"/>
        <v>5</v>
      </c>
      <c r="E67">
        <f t="shared" si="1"/>
        <v>0</v>
      </c>
      <c r="F67">
        <f t="shared" si="2"/>
        <v>5</v>
      </c>
      <c r="G67" t="str">
        <f t="shared" si="3"/>
        <v>Under-utilized</v>
      </c>
    </row>
    <row r="68" spans="1:7" x14ac:dyDescent="0.3">
      <c r="A68" t="s">
        <v>608</v>
      </c>
      <c r="B68" t="s">
        <v>31</v>
      </c>
      <c r="C68" s="30">
        <v>2</v>
      </c>
      <c r="D68">
        <f t="shared" si="0"/>
        <v>5</v>
      </c>
      <c r="E68">
        <f t="shared" si="1"/>
        <v>0</v>
      </c>
      <c r="F68">
        <f t="shared" si="2"/>
        <v>10</v>
      </c>
      <c r="G68" t="str">
        <f t="shared" si="3"/>
        <v>Under-utilized</v>
      </c>
    </row>
    <row r="69" spans="1:7" x14ac:dyDescent="0.3">
      <c r="A69" t="s">
        <v>609</v>
      </c>
      <c r="B69" t="s">
        <v>170</v>
      </c>
      <c r="C69" s="30">
        <v>3</v>
      </c>
      <c r="D69">
        <f t="shared" ref="D69:D129" si="4">_xlfn.XLOOKUP(B69, $J$4:$J$14, $K$4:$K$14)</f>
        <v>2</v>
      </c>
      <c r="E69">
        <f t="shared" ref="E69:E129" si="5">_xlfn.XLOOKUP(B69, $J$4:$J$14, $L$4:$L$14)</f>
        <v>2</v>
      </c>
      <c r="F69">
        <f t="shared" ref="F69:F129" si="6">(C69 * D69) + E69</f>
        <v>8</v>
      </c>
      <c r="G69" t="str">
        <f t="shared" ref="G69:G129" si="7">IF(F69&lt;40,"Under-utilized",
 IF(F69&lt;=50,"Optimal","Burnout"))</f>
        <v>Under-utilized</v>
      </c>
    </row>
    <row r="70" spans="1:7" x14ac:dyDescent="0.3">
      <c r="A70" t="s">
        <v>240</v>
      </c>
      <c r="B70" t="s">
        <v>31</v>
      </c>
      <c r="C70" s="30">
        <v>1</v>
      </c>
      <c r="D70">
        <f t="shared" si="4"/>
        <v>5</v>
      </c>
      <c r="E70">
        <f t="shared" si="5"/>
        <v>0</v>
      </c>
      <c r="F70">
        <f t="shared" si="6"/>
        <v>5</v>
      </c>
      <c r="G70" t="str">
        <f t="shared" si="7"/>
        <v>Under-utilized</v>
      </c>
    </row>
    <row r="71" spans="1:7" x14ac:dyDescent="0.3">
      <c r="A71" t="s">
        <v>610</v>
      </c>
      <c r="B71" t="s">
        <v>54</v>
      </c>
      <c r="C71" s="30">
        <v>1</v>
      </c>
      <c r="D71">
        <f t="shared" si="4"/>
        <v>5</v>
      </c>
      <c r="E71">
        <f t="shared" si="5"/>
        <v>0</v>
      </c>
      <c r="F71">
        <f t="shared" si="6"/>
        <v>5</v>
      </c>
      <c r="G71" t="str">
        <f t="shared" si="7"/>
        <v>Under-utilized</v>
      </c>
    </row>
    <row r="72" spans="1:7" x14ac:dyDescent="0.3">
      <c r="A72" t="s">
        <v>611</v>
      </c>
      <c r="B72" t="s">
        <v>31</v>
      </c>
      <c r="C72" s="30">
        <v>2</v>
      </c>
      <c r="D72">
        <f t="shared" si="4"/>
        <v>5</v>
      </c>
      <c r="E72">
        <f t="shared" si="5"/>
        <v>0</v>
      </c>
      <c r="F72">
        <f t="shared" si="6"/>
        <v>10</v>
      </c>
      <c r="G72" t="str">
        <f t="shared" si="7"/>
        <v>Under-utilized</v>
      </c>
    </row>
    <row r="73" spans="1:7" x14ac:dyDescent="0.3">
      <c r="A73" t="s">
        <v>612</v>
      </c>
      <c r="B73" t="s">
        <v>54</v>
      </c>
      <c r="C73" s="30">
        <v>1</v>
      </c>
      <c r="D73">
        <f t="shared" si="4"/>
        <v>5</v>
      </c>
      <c r="E73">
        <f t="shared" si="5"/>
        <v>0</v>
      </c>
      <c r="F73">
        <f t="shared" si="6"/>
        <v>5</v>
      </c>
      <c r="G73" t="str">
        <f t="shared" si="7"/>
        <v>Under-utilized</v>
      </c>
    </row>
    <row r="74" spans="1:7" x14ac:dyDescent="0.3">
      <c r="A74" t="s">
        <v>249</v>
      </c>
      <c r="B74" t="s">
        <v>24</v>
      </c>
      <c r="C74" s="30">
        <v>2</v>
      </c>
      <c r="D74">
        <f t="shared" si="4"/>
        <v>3</v>
      </c>
      <c r="E74">
        <f t="shared" si="5"/>
        <v>2</v>
      </c>
      <c r="F74">
        <f t="shared" si="6"/>
        <v>8</v>
      </c>
      <c r="G74" t="str">
        <f t="shared" si="7"/>
        <v>Under-utilized</v>
      </c>
    </row>
    <row r="75" spans="1:7" x14ac:dyDescent="0.3">
      <c r="A75" t="s">
        <v>614</v>
      </c>
      <c r="B75" t="s">
        <v>31</v>
      </c>
      <c r="C75" s="30">
        <v>2</v>
      </c>
      <c r="D75">
        <f t="shared" si="4"/>
        <v>5</v>
      </c>
      <c r="E75">
        <f t="shared" si="5"/>
        <v>0</v>
      </c>
      <c r="F75">
        <f t="shared" si="6"/>
        <v>10</v>
      </c>
      <c r="G75" t="str">
        <f t="shared" si="7"/>
        <v>Under-utilized</v>
      </c>
    </row>
    <row r="76" spans="1:7" x14ac:dyDescent="0.3">
      <c r="A76" t="s">
        <v>615</v>
      </c>
      <c r="B76" t="s">
        <v>170</v>
      </c>
      <c r="C76" s="30">
        <v>3</v>
      </c>
      <c r="D76">
        <f t="shared" si="4"/>
        <v>2</v>
      </c>
      <c r="E76">
        <f t="shared" si="5"/>
        <v>2</v>
      </c>
      <c r="F76">
        <f t="shared" si="6"/>
        <v>8</v>
      </c>
      <c r="G76" t="str">
        <f t="shared" si="7"/>
        <v>Under-utilized</v>
      </c>
    </row>
    <row r="77" spans="1:7" x14ac:dyDescent="0.3">
      <c r="A77" t="s">
        <v>616</v>
      </c>
      <c r="B77" t="s">
        <v>54</v>
      </c>
      <c r="C77" s="30">
        <v>2</v>
      </c>
      <c r="D77">
        <f t="shared" si="4"/>
        <v>5</v>
      </c>
      <c r="E77">
        <f t="shared" si="5"/>
        <v>0</v>
      </c>
      <c r="F77">
        <f t="shared" si="6"/>
        <v>10</v>
      </c>
      <c r="G77" t="str">
        <f t="shared" si="7"/>
        <v>Under-utilized</v>
      </c>
    </row>
    <row r="78" spans="1:7" x14ac:dyDescent="0.3">
      <c r="A78" t="s">
        <v>617</v>
      </c>
      <c r="B78" t="s">
        <v>31</v>
      </c>
      <c r="C78" s="30">
        <v>2</v>
      </c>
      <c r="D78">
        <f t="shared" si="4"/>
        <v>5</v>
      </c>
      <c r="E78">
        <f t="shared" si="5"/>
        <v>0</v>
      </c>
      <c r="F78">
        <f t="shared" si="6"/>
        <v>10</v>
      </c>
      <c r="G78" t="str">
        <f t="shared" si="7"/>
        <v>Under-utilized</v>
      </c>
    </row>
    <row r="79" spans="1:7" x14ac:dyDescent="0.3">
      <c r="A79" t="s">
        <v>266</v>
      </c>
      <c r="B79" t="s">
        <v>31</v>
      </c>
      <c r="C79" s="30">
        <v>1</v>
      </c>
      <c r="D79">
        <f t="shared" si="4"/>
        <v>5</v>
      </c>
      <c r="E79">
        <f t="shared" si="5"/>
        <v>0</v>
      </c>
      <c r="F79">
        <f t="shared" si="6"/>
        <v>5</v>
      </c>
      <c r="G79" t="str">
        <f t="shared" si="7"/>
        <v>Under-utilized</v>
      </c>
    </row>
    <row r="80" spans="1:7" x14ac:dyDescent="0.3">
      <c r="A80" t="s">
        <v>618</v>
      </c>
      <c r="B80" t="s">
        <v>170</v>
      </c>
      <c r="C80" s="30">
        <v>1</v>
      </c>
      <c r="D80">
        <f t="shared" si="4"/>
        <v>2</v>
      </c>
      <c r="E80">
        <f t="shared" si="5"/>
        <v>2</v>
      </c>
      <c r="F80">
        <f t="shared" si="6"/>
        <v>4</v>
      </c>
      <c r="G80" t="str">
        <f t="shared" si="7"/>
        <v>Under-utilized</v>
      </c>
    </row>
    <row r="81" spans="1:7" x14ac:dyDescent="0.3">
      <c r="A81" t="s">
        <v>619</v>
      </c>
      <c r="B81" t="s">
        <v>54</v>
      </c>
      <c r="C81" s="30">
        <v>1</v>
      </c>
      <c r="D81">
        <f t="shared" si="4"/>
        <v>5</v>
      </c>
      <c r="E81">
        <f t="shared" si="5"/>
        <v>0</v>
      </c>
      <c r="F81">
        <f t="shared" si="6"/>
        <v>5</v>
      </c>
      <c r="G81" t="str">
        <f t="shared" si="7"/>
        <v>Under-utilized</v>
      </c>
    </row>
    <row r="82" spans="1:7" x14ac:dyDescent="0.3">
      <c r="A82" t="s">
        <v>620</v>
      </c>
      <c r="B82" t="s">
        <v>24</v>
      </c>
      <c r="C82" s="30">
        <v>2</v>
      </c>
      <c r="D82">
        <f t="shared" si="4"/>
        <v>3</v>
      </c>
      <c r="E82">
        <f t="shared" si="5"/>
        <v>2</v>
      </c>
      <c r="F82">
        <f t="shared" si="6"/>
        <v>8</v>
      </c>
      <c r="G82" t="str">
        <f t="shared" si="7"/>
        <v>Under-utilized</v>
      </c>
    </row>
    <row r="83" spans="1:7" x14ac:dyDescent="0.3">
      <c r="A83" t="s">
        <v>621</v>
      </c>
      <c r="B83" t="s">
        <v>31</v>
      </c>
      <c r="C83" s="30">
        <v>2</v>
      </c>
      <c r="D83">
        <f t="shared" si="4"/>
        <v>5</v>
      </c>
      <c r="E83">
        <f t="shared" si="5"/>
        <v>0</v>
      </c>
      <c r="F83">
        <f t="shared" si="6"/>
        <v>10</v>
      </c>
      <c r="G83" t="str">
        <f t="shared" si="7"/>
        <v>Under-utilized</v>
      </c>
    </row>
    <row r="84" spans="1:7" x14ac:dyDescent="0.3">
      <c r="A84" t="s">
        <v>279</v>
      </c>
      <c r="B84" t="s">
        <v>31</v>
      </c>
      <c r="C84" s="30">
        <v>2</v>
      </c>
      <c r="D84">
        <f t="shared" si="4"/>
        <v>5</v>
      </c>
      <c r="E84">
        <f t="shared" si="5"/>
        <v>0</v>
      </c>
      <c r="F84">
        <f t="shared" si="6"/>
        <v>10</v>
      </c>
      <c r="G84" t="str">
        <f t="shared" si="7"/>
        <v>Under-utilized</v>
      </c>
    </row>
    <row r="85" spans="1:7" x14ac:dyDescent="0.3">
      <c r="A85" t="s">
        <v>623</v>
      </c>
      <c r="B85" t="s">
        <v>54</v>
      </c>
      <c r="C85" s="30">
        <v>1</v>
      </c>
      <c r="D85">
        <f t="shared" si="4"/>
        <v>5</v>
      </c>
      <c r="E85">
        <f t="shared" si="5"/>
        <v>0</v>
      </c>
      <c r="F85">
        <f t="shared" si="6"/>
        <v>5</v>
      </c>
      <c r="G85" t="str">
        <f t="shared" si="7"/>
        <v>Under-utilized</v>
      </c>
    </row>
    <row r="86" spans="1:7" x14ac:dyDescent="0.3">
      <c r="A86" t="s">
        <v>624</v>
      </c>
      <c r="B86" t="s">
        <v>31</v>
      </c>
      <c r="C86" s="30">
        <v>1</v>
      </c>
      <c r="D86">
        <f t="shared" si="4"/>
        <v>5</v>
      </c>
      <c r="E86">
        <f t="shared" si="5"/>
        <v>0</v>
      </c>
      <c r="F86">
        <f t="shared" si="6"/>
        <v>5</v>
      </c>
      <c r="G86" t="str">
        <f t="shared" si="7"/>
        <v>Under-utilized</v>
      </c>
    </row>
    <row r="87" spans="1:7" x14ac:dyDescent="0.3">
      <c r="A87" t="s">
        <v>625</v>
      </c>
      <c r="B87" t="s">
        <v>54</v>
      </c>
      <c r="C87" s="30">
        <v>1</v>
      </c>
      <c r="D87">
        <f t="shared" si="4"/>
        <v>5</v>
      </c>
      <c r="E87">
        <f t="shared" si="5"/>
        <v>0</v>
      </c>
      <c r="F87">
        <f t="shared" si="6"/>
        <v>5</v>
      </c>
      <c r="G87" t="str">
        <f t="shared" si="7"/>
        <v>Under-utilized</v>
      </c>
    </row>
    <row r="88" spans="1:7" x14ac:dyDescent="0.3">
      <c r="A88" t="s">
        <v>626</v>
      </c>
      <c r="B88" t="s">
        <v>170</v>
      </c>
      <c r="C88" s="30">
        <v>3</v>
      </c>
      <c r="D88">
        <f t="shared" si="4"/>
        <v>2</v>
      </c>
      <c r="E88">
        <f t="shared" si="5"/>
        <v>2</v>
      </c>
      <c r="F88">
        <f t="shared" si="6"/>
        <v>8</v>
      </c>
      <c r="G88" t="str">
        <f t="shared" si="7"/>
        <v>Under-utilized</v>
      </c>
    </row>
    <row r="89" spans="1:7" x14ac:dyDescent="0.3">
      <c r="A89" t="s">
        <v>627</v>
      </c>
      <c r="B89" t="s">
        <v>31</v>
      </c>
      <c r="C89" s="30">
        <v>2</v>
      </c>
      <c r="D89">
        <f t="shared" si="4"/>
        <v>5</v>
      </c>
      <c r="E89">
        <f t="shared" si="5"/>
        <v>0</v>
      </c>
      <c r="F89">
        <f t="shared" si="6"/>
        <v>10</v>
      </c>
      <c r="G89" t="str">
        <f t="shared" si="7"/>
        <v>Under-utilized</v>
      </c>
    </row>
    <row r="90" spans="1:7" x14ac:dyDescent="0.3">
      <c r="A90" t="s">
        <v>297</v>
      </c>
      <c r="B90" t="s">
        <v>24</v>
      </c>
      <c r="C90" s="30">
        <v>1</v>
      </c>
      <c r="D90">
        <f t="shared" si="4"/>
        <v>3</v>
      </c>
      <c r="E90">
        <f t="shared" si="5"/>
        <v>2</v>
      </c>
      <c r="F90">
        <f t="shared" si="6"/>
        <v>5</v>
      </c>
      <c r="G90" t="str">
        <f t="shared" si="7"/>
        <v>Under-utilized</v>
      </c>
    </row>
    <row r="91" spans="1:7" x14ac:dyDescent="0.3">
      <c r="A91" t="s">
        <v>628</v>
      </c>
      <c r="B91" t="s">
        <v>54</v>
      </c>
      <c r="C91" s="30">
        <v>1</v>
      </c>
      <c r="D91">
        <f t="shared" si="4"/>
        <v>5</v>
      </c>
      <c r="E91">
        <f t="shared" si="5"/>
        <v>0</v>
      </c>
      <c r="F91">
        <f t="shared" si="6"/>
        <v>5</v>
      </c>
      <c r="G91" t="str">
        <f t="shared" si="7"/>
        <v>Under-utilized</v>
      </c>
    </row>
    <row r="92" spans="1:7" x14ac:dyDescent="0.3">
      <c r="A92" t="s">
        <v>629</v>
      </c>
      <c r="B92" t="s">
        <v>31</v>
      </c>
      <c r="C92" s="30">
        <v>1</v>
      </c>
      <c r="D92">
        <f t="shared" si="4"/>
        <v>5</v>
      </c>
      <c r="E92">
        <f t="shared" si="5"/>
        <v>0</v>
      </c>
      <c r="F92">
        <f t="shared" si="6"/>
        <v>5</v>
      </c>
      <c r="G92" t="str">
        <f t="shared" si="7"/>
        <v>Under-utilized</v>
      </c>
    </row>
    <row r="93" spans="1:7" x14ac:dyDescent="0.3">
      <c r="A93" t="s">
        <v>630</v>
      </c>
      <c r="B93" t="s">
        <v>54</v>
      </c>
      <c r="C93" s="30">
        <v>1</v>
      </c>
      <c r="D93">
        <f t="shared" si="4"/>
        <v>5</v>
      </c>
      <c r="E93">
        <f t="shared" si="5"/>
        <v>0</v>
      </c>
      <c r="F93">
        <f t="shared" si="6"/>
        <v>5</v>
      </c>
      <c r="G93" t="str">
        <f t="shared" si="7"/>
        <v>Under-utilized</v>
      </c>
    </row>
    <row r="94" spans="1:7" x14ac:dyDescent="0.3">
      <c r="A94" t="s">
        <v>306</v>
      </c>
      <c r="B94" t="s">
        <v>31</v>
      </c>
      <c r="C94" s="30">
        <v>1</v>
      </c>
      <c r="D94">
        <f t="shared" si="4"/>
        <v>5</v>
      </c>
      <c r="E94">
        <f t="shared" si="5"/>
        <v>0</v>
      </c>
      <c r="F94">
        <f t="shared" si="6"/>
        <v>5</v>
      </c>
      <c r="G94" t="str">
        <f t="shared" si="7"/>
        <v>Under-utilized</v>
      </c>
    </row>
    <row r="95" spans="1:7" x14ac:dyDescent="0.3">
      <c r="A95" t="s">
        <v>631</v>
      </c>
      <c r="B95" t="s">
        <v>31</v>
      </c>
      <c r="C95" s="30">
        <v>2</v>
      </c>
      <c r="D95">
        <f t="shared" si="4"/>
        <v>5</v>
      </c>
      <c r="E95">
        <f t="shared" si="5"/>
        <v>0</v>
      </c>
      <c r="F95">
        <f t="shared" si="6"/>
        <v>10</v>
      </c>
      <c r="G95" t="str">
        <f t="shared" si="7"/>
        <v>Under-utilized</v>
      </c>
    </row>
    <row r="96" spans="1:7" x14ac:dyDescent="0.3">
      <c r="A96" t="s">
        <v>632</v>
      </c>
      <c r="B96" t="s">
        <v>170</v>
      </c>
      <c r="C96" s="30">
        <v>2</v>
      </c>
      <c r="D96">
        <f t="shared" si="4"/>
        <v>2</v>
      </c>
      <c r="E96">
        <f t="shared" si="5"/>
        <v>2</v>
      </c>
      <c r="F96">
        <f t="shared" si="6"/>
        <v>6</v>
      </c>
      <c r="G96" t="str">
        <f t="shared" si="7"/>
        <v>Under-utilized</v>
      </c>
    </row>
    <row r="97" spans="1:7" x14ac:dyDescent="0.3">
      <c r="A97" t="s">
        <v>633</v>
      </c>
      <c r="B97" t="s">
        <v>54</v>
      </c>
      <c r="C97" s="30">
        <v>2</v>
      </c>
      <c r="D97">
        <f t="shared" si="4"/>
        <v>5</v>
      </c>
      <c r="E97">
        <f t="shared" si="5"/>
        <v>0</v>
      </c>
      <c r="F97">
        <f t="shared" si="6"/>
        <v>10</v>
      </c>
      <c r="G97" t="str">
        <f t="shared" si="7"/>
        <v>Under-utilized</v>
      </c>
    </row>
    <row r="98" spans="1:7" x14ac:dyDescent="0.3">
      <c r="A98" t="s">
        <v>634</v>
      </c>
      <c r="B98" t="s">
        <v>24</v>
      </c>
      <c r="C98" s="30">
        <v>2</v>
      </c>
      <c r="D98">
        <f t="shared" si="4"/>
        <v>3</v>
      </c>
      <c r="E98">
        <f t="shared" si="5"/>
        <v>2</v>
      </c>
      <c r="F98">
        <f t="shared" si="6"/>
        <v>8</v>
      </c>
      <c r="G98" t="str">
        <f t="shared" si="7"/>
        <v>Under-utilized</v>
      </c>
    </row>
    <row r="99" spans="1:7" x14ac:dyDescent="0.3">
      <c r="A99" t="s">
        <v>319</v>
      </c>
      <c r="B99" t="s">
        <v>31</v>
      </c>
      <c r="C99" s="30">
        <v>2</v>
      </c>
      <c r="D99">
        <f t="shared" si="4"/>
        <v>5</v>
      </c>
      <c r="E99">
        <f t="shared" si="5"/>
        <v>0</v>
      </c>
      <c r="F99">
        <f t="shared" si="6"/>
        <v>10</v>
      </c>
      <c r="G99" t="str">
        <f t="shared" si="7"/>
        <v>Under-utilized</v>
      </c>
    </row>
    <row r="100" spans="1:7" x14ac:dyDescent="0.3">
      <c r="A100" t="s">
        <v>635</v>
      </c>
      <c r="B100" t="s">
        <v>31</v>
      </c>
      <c r="C100" s="30">
        <v>1</v>
      </c>
      <c r="D100">
        <f t="shared" si="4"/>
        <v>5</v>
      </c>
      <c r="E100">
        <f t="shared" si="5"/>
        <v>0</v>
      </c>
      <c r="F100">
        <f t="shared" si="6"/>
        <v>5</v>
      </c>
      <c r="G100" t="str">
        <f t="shared" si="7"/>
        <v>Under-utilized</v>
      </c>
    </row>
    <row r="101" spans="1:7" x14ac:dyDescent="0.3">
      <c r="A101" t="s">
        <v>636</v>
      </c>
      <c r="B101" t="s">
        <v>54</v>
      </c>
      <c r="C101" s="30">
        <v>1</v>
      </c>
      <c r="D101">
        <f t="shared" si="4"/>
        <v>5</v>
      </c>
      <c r="E101">
        <f t="shared" si="5"/>
        <v>0</v>
      </c>
      <c r="F101">
        <f t="shared" si="6"/>
        <v>5</v>
      </c>
      <c r="G101" t="str">
        <f t="shared" si="7"/>
        <v>Under-utilized</v>
      </c>
    </row>
    <row r="102" spans="1:7" x14ac:dyDescent="0.3">
      <c r="A102" t="s">
        <v>637</v>
      </c>
      <c r="B102" t="s">
        <v>170</v>
      </c>
      <c r="C102" s="30">
        <v>1</v>
      </c>
      <c r="D102">
        <f t="shared" si="4"/>
        <v>2</v>
      </c>
      <c r="E102">
        <f t="shared" si="5"/>
        <v>2</v>
      </c>
      <c r="F102">
        <f t="shared" si="6"/>
        <v>4</v>
      </c>
      <c r="G102" t="str">
        <f t="shared" si="7"/>
        <v>Under-utilized</v>
      </c>
    </row>
    <row r="103" spans="1:7" x14ac:dyDescent="0.3">
      <c r="A103" t="s">
        <v>638</v>
      </c>
      <c r="B103" t="s">
        <v>54</v>
      </c>
      <c r="C103" s="30">
        <v>1</v>
      </c>
      <c r="D103">
        <f t="shared" si="4"/>
        <v>5</v>
      </c>
      <c r="E103">
        <f t="shared" si="5"/>
        <v>0</v>
      </c>
      <c r="F103">
        <f t="shared" si="6"/>
        <v>5</v>
      </c>
      <c r="G103" t="str">
        <f t="shared" si="7"/>
        <v>Under-utilized</v>
      </c>
    </row>
    <row r="104" spans="1:7" x14ac:dyDescent="0.3">
      <c r="A104" t="s">
        <v>329</v>
      </c>
      <c r="B104" t="s">
        <v>11</v>
      </c>
      <c r="C104" s="30">
        <v>2</v>
      </c>
      <c r="D104">
        <f t="shared" si="4"/>
        <v>2</v>
      </c>
      <c r="E104">
        <f t="shared" si="5"/>
        <v>2</v>
      </c>
      <c r="F104">
        <f t="shared" si="6"/>
        <v>6</v>
      </c>
      <c r="G104" t="str">
        <f t="shared" si="7"/>
        <v>Under-utilized</v>
      </c>
    </row>
    <row r="105" spans="1:7" x14ac:dyDescent="0.3">
      <c r="A105" t="s">
        <v>639</v>
      </c>
      <c r="B105" t="s">
        <v>24</v>
      </c>
      <c r="C105" s="30">
        <v>1</v>
      </c>
      <c r="D105">
        <f t="shared" si="4"/>
        <v>3</v>
      </c>
      <c r="E105">
        <f t="shared" si="5"/>
        <v>2</v>
      </c>
      <c r="F105">
        <f t="shared" si="6"/>
        <v>5</v>
      </c>
      <c r="G105" t="str">
        <f t="shared" si="7"/>
        <v>Under-utilized</v>
      </c>
    </row>
    <row r="106" spans="1:7" x14ac:dyDescent="0.3">
      <c r="A106" t="s">
        <v>641</v>
      </c>
      <c r="B106" t="s">
        <v>18</v>
      </c>
      <c r="C106" s="30">
        <v>2</v>
      </c>
      <c r="D106">
        <f t="shared" si="4"/>
        <v>4</v>
      </c>
      <c r="E106">
        <f t="shared" si="5"/>
        <v>2</v>
      </c>
      <c r="F106">
        <f t="shared" si="6"/>
        <v>10</v>
      </c>
      <c r="G106" t="str">
        <f t="shared" si="7"/>
        <v>Under-utilized</v>
      </c>
    </row>
    <row r="107" spans="1:7" x14ac:dyDescent="0.3">
      <c r="A107" t="s">
        <v>642</v>
      </c>
      <c r="B107" t="s">
        <v>24</v>
      </c>
      <c r="C107" s="30">
        <v>2</v>
      </c>
      <c r="D107">
        <f t="shared" si="4"/>
        <v>3</v>
      </c>
      <c r="E107">
        <f t="shared" si="5"/>
        <v>2</v>
      </c>
      <c r="F107">
        <f t="shared" si="6"/>
        <v>8</v>
      </c>
      <c r="G107" t="str">
        <f t="shared" si="7"/>
        <v>Under-utilized</v>
      </c>
    </row>
    <row r="108" spans="1:7" x14ac:dyDescent="0.3">
      <c r="A108" t="s">
        <v>643</v>
      </c>
      <c r="B108" t="s">
        <v>346</v>
      </c>
      <c r="C108" s="30">
        <v>1</v>
      </c>
      <c r="D108">
        <f t="shared" si="4"/>
        <v>2</v>
      </c>
      <c r="E108">
        <f t="shared" si="5"/>
        <v>2</v>
      </c>
      <c r="F108">
        <f t="shared" si="6"/>
        <v>4</v>
      </c>
      <c r="G108" t="str">
        <f t="shared" si="7"/>
        <v>Under-utilized</v>
      </c>
    </row>
    <row r="109" spans="1:7" x14ac:dyDescent="0.3">
      <c r="A109" t="s">
        <v>644</v>
      </c>
      <c r="B109" t="s">
        <v>346</v>
      </c>
      <c r="C109" s="30">
        <v>2</v>
      </c>
      <c r="D109">
        <f t="shared" si="4"/>
        <v>2</v>
      </c>
      <c r="E109">
        <f t="shared" si="5"/>
        <v>2</v>
      </c>
      <c r="F109">
        <f t="shared" si="6"/>
        <v>6</v>
      </c>
      <c r="G109" t="str">
        <f t="shared" si="7"/>
        <v>Under-utilized</v>
      </c>
    </row>
    <row r="110" spans="1:7" x14ac:dyDescent="0.3">
      <c r="A110" t="s">
        <v>645</v>
      </c>
      <c r="B110" t="s">
        <v>42</v>
      </c>
      <c r="C110" s="30">
        <v>2</v>
      </c>
      <c r="D110">
        <f t="shared" si="4"/>
        <v>2</v>
      </c>
      <c r="E110">
        <f t="shared" si="5"/>
        <v>2</v>
      </c>
      <c r="F110">
        <f t="shared" si="6"/>
        <v>6</v>
      </c>
      <c r="G110" t="str">
        <f t="shared" si="7"/>
        <v>Under-utilized</v>
      </c>
    </row>
    <row r="111" spans="1:7" x14ac:dyDescent="0.3">
      <c r="A111" t="s">
        <v>646</v>
      </c>
      <c r="B111" t="s">
        <v>11</v>
      </c>
      <c r="C111" s="30">
        <v>2</v>
      </c>
      <c r="D111">
        <f t="shared" si="4"/>
        <v>2</v>
      </c>
      <c r="E111">
        <f t="shared" si="5"/>
        <v>2</v>
      </c>
      <c r="F111">
        <f t="shared" si="6"/>
        <v>6</v>
      </c>
      <c r="G111" t="str">
        <f t="shared" si="7"/>
        <v>Under-utilized</v>
      </c>
    </row>
    <row r="112" spans="1:7" x14ac:dyDescent="0.3">
      <c r="A112" t="s">
        <v>654</v>
      </c>
      <c r="B112" t="s">
        <v>54</v>
      </c>
      <c r="C112" s="30">
        <v>2</v>
      </c>
      <c r="D112">
        <f t="shared" si="4"/>
        <v>5</v>
      </c>
      <c r="E112">
        <f t="shared" si="5"/>
        <v>0</v>
      </c>
      <c r="F112">
        <f t="shared" si="6"/>
        <v>10</v>
      </c>
      <c r="G112" t="str">
        <f t="shared" si="7"/>
        <v>Under-utilized</v>
      </c>
    </row>
    <row r="113" spans="1:7" x14ac:dyDescent="0.3">
      <c r="A113" t="s">
        <v>647</v>
      </c>
      <c r="B113" t="s">
        <v>54</v>
      </c>
      <c r="C113" s="30">
        <v>1</v>
      </c>
      <c r="D113">
        <f t="shared" si="4"/>
        <v>5</v>
      </c>
      <c r="E113">
        <f t="shared" si="5"/>
        <v>0</v>
      </c>
      <c r="F113">
        <f t="shared" si="6"/>
        <v>5</v>
      </c>
      <c r="G113" t="str">
        <f t="shared" si="7"/>
        <v>Under-utilized</v>
      </c>
    </row>
    <row r="114" spans="1:7" x14ac:dyDescent="0.3">
      <c r="A114" t="s">
        <v>355</v>
      </c>
      <c r="B114" t="s">
        <v>24</v>
      </c>
      <c r="C114" s="30">
        <v>2</v>
      </c>
      <c r="D114">
        <f t="shared" si="4"/>
        <v>3</v>
      </c>
      <c r="E114">
        <f t="shared" si="5"/>
        <v>2</v>
      </c>
      <c r="F114">
        <f t="shared" si="6"/>
        <v>8</v>
      </c>
      <c r="G114" t="str">
        <f t="shared" si="7"/>
        <v>Under-utilized</v>
      </c>
    </row>
    <row r="115" spans="1:7" x14ac:dyDescent="0.3">
      <c r="A115" t="s">
        <v>655</v>
      </c>
      <c r="B115" t="s">
        <v>24</v>
      </c>
      <c r="C115" s="30">
        <v>1</v>
      </c>
      <c r="D115">
        <f t="shared" si="4"/>
        <v>3</v>
      </c>
      <c r="E115">
        <f t="shared" si="5"/>
        <v>2</v>
      </c>
      <c r="F115">
        <f t="shared" si="6"/>
        <v>5</v>
      </c>
      <c r="G115" t="str">
        <f t="shared" si="7"/>
        <v>Under-utilized</v>
      </c>
    </row>
    <row r="116" spans="1:7" x14ac:dyDescent="0.3">
      <c r="A116" t="s">
        <v>656</v>
      </c>
      <c r="B116" t="s">
        <v>170</v>
      </c>
      <c r="C116" s="30">
        <v>2</v>
      </c>
      <c r="D116">
        <f t="shared" si="4"/>
        <v>2</v>
      </c>
      <c r="E116">
        <f t="shared" si="5"/>
        <v>2</v>
      </c>
      <c r="F116">
        <f t="shared" si="6"/>
        <v>6</v>
      </c>
      <c r="G116" t="str">
        <f t="shared" si="7"/>
        <v>Under-utilized</v>
      </c>
    </row>
    <row r="117" spans="1:7" x14ac:dyDescent="0.3">
      <c r="A117" t="s">
        <v>650</v>
      </c>
      <c r="B117" t="s">
        <v>54</v>
      </c>
      <c r="C117" s="30">
        <v>2</v>
      </c>
      <c r="D117">
        <f t="shared" si="4"/>
        <v>5</v>
      </c>
      <c r="E117">
        <f t="shared" si="5"/>
        <v>0</v>
      </c>
      <c r="F117">
        <f t="shared" si="6"/>
        <v>10</v>
      </c>
      <c r="G117" t="str">
        <f t="shared" si="7"/>
        <v>Under-utilized</v>
      </c>
    </row>
    <row r="118" spans="1:7" x14ac:dyDescent="0.3">
      <c r="A118" t="s">
        <v>622</v>
      </c>
      <c r="B118" t="s">
        <v>31</v>
      </c>
      <c r="C118" s="30">
        <v>2</v>
      </c>
      <c r="D118">
        <f t="shared" si="4"/>
        <v>5</v>
      </c>
      <c r="E118">
        <f t="shared" si="5"/>
        <v>0</v>
      </c>
      <c r="F118">
        <f t="shared" si="6"/>
        <v>10</v>
      </c>
      <c r="G118" t="str">
        <f t="shared" si="7"/>
        <v>Under-utilized</v>
      </c>
    </row>
    <row r="119" spans="1:7" x14ac:dyDescent="0.3">
      <c r="A119" t="s">
        <v>657</v>
      </c>
      <c r="B119" t="s">
        <v>31</v>
      </c>
      <c r="C119" s="30">
        <v>2</v>
      </c>
      <c r="D119">
        <f t="shared" si="4"/>
        <v>5</v>
      </c>
      <c r="E119">
        <f t="shared" si="5"/>
        <v>0</v>
      </c>
      <c r="F119">
        <f t="shared" si="6"/>
        <v>10</v>
      </c>
      <c r="G119" t="str">
        <f t="shared" si="7"/>
        <v>Under-utilized</v>
      </c>
    </row>
    <row r="120" spans="1:7" x14ac:dyDescent="0.3">
      <c r="A120" t="s">
        <v>658</v>
      </c>
      <c r="B120" t="s">
        <v>31</v>
      </c>
      <c r="C120" s="30">
        <v>2</v>
      </c>
      <c r="D120">
        <f t="shared" si="4"/>
        <v>5</v>
      </c>
      <c r="E120">
        <f t="shared" si="5"/>
        <v>0</v>
      </c>
      <c r="F120">
        <f t="shared" si="6"/>
        <v>10</v>
      </c>
      <c r="G120" t="str">
        <f t="shared" si="7"/>
        <v>Under-utilized</v>
      </c>
    </row>
    <row r="121" spans="1:7" x14ac:dyDescent="0.3">
      <c r="A121" t="s">
        <v>659</v>
      </c>
      <c r="B121" t="s">
        <v>54</v>
      </c>
      <c r="C121" s="30">
        <v>2</v>
      </c>
      <c r="D121">
        <f t="shared" si="4"/>
        <v>5</v>
      </c>
      <c r="E121">
        <f t="shared" si="5"/>
        <v>0</v>
      </c>
      <c r="F121">
        <f t="shared" si="6"/>
        <v>10</v>
      </c>
      <c r="G121" t="str">
        <f t="shared" si="7"/>
        <v>Under-utilized</v>
      </c>
    </row>
    <row r="122" spans="1:7" x14ac:dyDescent="0.3">
      <c r="A122" t="s">
        <v>660</v>
      </c>
      <c r="B122" t="s">
        <v>42</v>
      </c>
      <c r="C122" s="30">
        <v>2</v>
      </c>
      <c r="D122">
        <f t="shared" si="4"/>
        <v>2</v>
      </c>
      <c r="E122">
        <f t="shared" si="5"/>
        <v>2</v>
      </c>
      <c r="F122">
        <f t="shared" si="6"/>
        <v>6</v>
      </c>
      <c r="G122" t="str">
        <f t="shared" si="7"/>
        <v>Under-utilized</v>
      </c>
    </row>
    <row r="123" spans="1:7" x14ac:dyDescent="0.3">
      <c r="A123" t="s">
        <v>661</v>
      </c>
      <c r="B123" t="s">
        <v>24</v>
      </c>
      <c r="C123" s="30">
        <v>2</v>
      </c>
      <c r="D123">
        <f t="shared" si="4"/>
        <v>3</v>
      </c>
      <c r="E123">
        <f t="shared" si="5"/>
        <v>2</v>
      </c>
      <c r="F123">
        <f t="shared" si="6"/>
        <v>8</v>
      </c>
      <c r="G123" t="str">
        <f t="shared" si="7"/>
        <v>Under-utilized</v>
      </c>
    </row>
    <row r="124" spans="1:7" x14ac:dyDescent="0.3">
      <c r="A124" t="s">
        <v>662</v>
      </c>
      <c r="B124" t="s">
        <v>54</v>
      </c>
      <c r="C124" s="30">
        <v>1</v>
      </c>
      <c r="D124">
        <f t="shared" si="4"/>
        <v>5</v>
      </c>
      <c r="E124">
        <f t="shared" si="5"/>
        <v>0</v>
      </c>
      <c r="F124">
        <f t="shared" si="6"/>
        <v>5</v>
      </c>
      <c r="G124" t="str">
        <f t="shared" si="7"/>
        <v>Under-utilized</v>
      </c>
    </row>
    <row r="125" spans="1:7" x14ac:dyDescent="0.3">
      <c r="A125" t="s">
        <v>663</v>
      </c>
      <c r="B125" t="s">
        <v>31</v>
      </c>
      <c r="C125" s="30">
        <v>2</v>
      </c>
      <c r="D125">
        <f t="shared" si="4"/>
        <v>5</v>
      </c>
      <c r="E125">
        <f t="shared" si="5"/>
        <v>0</v>
      </c>
      <c r="F125">
        <f t="shared" si="6"/>
        <v>10</v>
      </c>
      <c r="G125" t="str">
        <f t="shared" si="7"/>
        <v>Under-utilized</v>
      </c>
    </row>
    <row r="126" spans="1:7" x14ac:dyDescent="0.3">
      <c r="A126" t="s">
        <v>649</v>
      </c>
      <c r="B126" t="s">
        <v>11</v>
      </c>
      <c r="C126" s="30">
        <v>6</v>
      </c>
      <c r="D126">
        <f t="shared" si="4"/>
        <v>2</v>
      </c>
      <c r="E126">
        <f t="shared" si="5"/>
        <v>2</v>
      </c>
      <c r="F126">
        <f t="shared" si="6"/>
        <v>14</v>
      </c>
      <c r="G126" t="str">
        <f t="shared" si="7"/>
        <v>Under-utilized</v>
      </c>
    </row>
    <row r="127" spans="1:7" x14ac:dyDescent="0.3">
      <c r="A127" t="s">
        <v>652</v>
      </c>
      <c r="B127" t="s">
        <v>24</v>
      </c>
      <c r="C127" s="30">
        <v>3</v>
      </c>
      <c r="D127">
        <f t="shared" si="4"/>
        <v>3</v>
      </c>
      <c r="E127">
        <f t="shared" si="5"/>
        <v>2</v>
      </c>
      <c r="F127">
        <f t="shared" si="6"/>
        <v>11</v>
      </c>
      <c r="G127" t="str">
        <f t="shared" si="7"/>
        <v>Under-utilized</v>
      </c>
    </row>
    <row r="128" spans="1:7" x14ac:dyDescent="0.3">
      <c r="A128" t="s">
        <v>653</v>
      </c>
      <c r="B128" t="s">
        <v>54</v>
      </c>
      <c r="C128" s="30">
        <v>1</v>
      </c>
      <c r="D128">
        <f t="shared" si="4"/>
        <v>5</v>
      </c>
      <c r="E128">
        <f t="shared" si="5"/>
        <v>0</v>
      </c>
      <c r="F128">
        <f t="shared" si="6"/>
        <v>5</v>
      </c>
      <c r="G128" t="str">
        <f t="shared" si="7"/>
        <v>Under-utilized</v>
      </c>
    </row>
    <row r="129" spans="1:7" x14ac:dyDescent="0.3">
      <c r="A129" t="s">
        <v>651</v>
      </c>
      <c r="B129" t="s">
        <v>24</v>
      </c>
      <c r="C129" s="30">
        <v>2</v>
      </c>
      <c r="D129">
        <f t="shared" si="4"/>
        <v>3</v>
      </c>
      <c r="E129">
        <f t="shared" si="5"/>
        <v>2</v>
      </c>
      <c r="F129">
        <f t="shared" si="6"/>
        <v>8</v>
      </c>
      <c r="G129" t="str">
        <f t="shared" si="7"/>
        <v>Under-utilized</v>
      </c>
    </row>
  </sheetData>
  <mergeCells count="1">
    <mergeCell ref="J18:L21"/>
  </mergeCells>
  <conditionalFormatting sqref="G4:G129">
    <cfRule type="containsText" dxfId="26" priority="1" operator="containsText" text="Under">
      <formula>NOT(ISERROR(SEARCH("Under",G4)))</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0179-288B-40A0-A298-6361FCE731E5}">
  <dimension ref="A1:V19"/>
  <sheetViews>
    <sheetView tabSelected="1" workbookViewId="0">
      <selection activeCell="T5" sqref="T5"/>
    </sheetView>
  </sheetViews>
  <sheetFormatPr defaultRowHeight="14.4" x14ac:dyDescent="0.3"/>
  <cols>
    <col min="1" max="1" width="11.5546875" customWidth="1"/>
    <col min="2" max="2" width="14.77734375" customWidth="1"/>
    <col min="3" max="3" width="19.44140625" customWidth="1"/>
    <col min="5" max="5" width="11.6640625" customWidth="1"/>
    <col min="6" max="6" width="11.33203125" customWidth="1"/>
    <col min="7" max="7" width="11.109375" customWidth="1"/>
    <col min="9" max="9" width="11.88671875" style="91" customWidth="1"/>
    <col min="10" max="10" width="9.109375" style="91" customWidth="1"/>
    <col min="11" max="11" width="10.6640625" style="91" customWidth="1"/>
    <col min="12" max="12" width="12.6640625" customWidth="1"/>
    <col min="13" max="13" width="11" customWidth="1"/>
  </cols>
  <sheetData>
    <row r="1" spans="1:22" ht="15" thickBot="1" x14ac:dyDescent="0.35">
      <c r="A1" s="94" t="s">
        <v>681</v>
      </c>
      <c r="B1" s="95" t="s">
        <v>682</v>
      </c>
      <c r="C1" s="95" t="s">
        <v>693</v>
      </c>
      <c r="D1" s="95" t="s">
        <v>683</v>
      </c>
      <c r="E1" s="95" t="s">
        <v>399</v>
      </c>
      <c r="F1" s="95" t="s">
        <v>400</v>
      </c>
      <c r="G1" s="95" t="s">
        <v>684</v>
      </c>
      <c r="H1" s="95" t="s">
        <v>685</v>
      </c>
      <c r="I1" s="96" t="s">
        <v>686</v>
      </c>
      <c r="J1" s="95" t="s">
        <v>696</v>
      </c>
      <c r="K1" s="97" t="s">
        <v>694</v>
      </c>
      <c r="L1" s="95" t="s">
        <v>695</v>
      </c>
      <c r="M1" s="98" t="s">
        <v>687</v>
      </c>
    </row>
    <row r="2" spans="1:22" ht="28.8" x14ac:dyDescent="0.3">
      <c r="A2" s="78" t="s">
        <v>688</v>
      </c>
      <c r="B2" s="78" t="s">
        <v>697</v>
      </c>
      <c r="C2" s="78" t="s">
        <v>12</v>
      </c>
      <c r="D2" s="78" t="s">
        <v>698</v>
      </c>
      <c r="E2" s="92">
        <v>46023</v>
      </c>
      <c r="F2" s="92">
        <v>46111</v>
      </c>
      <c r="G2" s="78" t="s">
        <v>502</v>
      </c>
      <c r="H2" s="78" t="s">
        <v>689</v>
      </c>
      <c r="I2" s="93">
        <v>0.6</v>
      </c>
      <c r="J2" s="78">
        <v>50000</v>
      </c>
      <c r="K2" s="78" t="s">
        <v>692</v>
      </c>
      <c r="L2" t="str">
        <f ca="1">IF(AND(F2&lt;TODAY(), G2&lt;&gt;"Completed"), "Overdue", "")</f>
        <v>Overdue</v>
      </c>
      <c r="M2" s="78" t="s">
        <v>699</v>
      </c>
      <c r="O2" s="56" t="s">
        <v>725</v>
      </c>
      <c r="P2" s="56"/>
      <c r="Q2" s="56"/>
    </row>
    <row r="3" spans="1:22" ht="43.2" x14ac:dyDescent="0.3">
      <c r="A3" s="78" t="s">
        <v>690</v>
      </c>
      <c r="B3" s="78" t="s">
        <v>700</v>
      </c>
      <c r="C3" s="78" t="s">
        <v>701</v>
      </c>
      <c r="D3" s="78" t="s">
        <v>702</v>
      </c>
      <c r="E3" s="92">
        <v>46068</v>
      </c>
      <c r="F3" s="92">
        <v>46173</v>
      </c>
      <c r="G3" s="78" t="s">
        <v>691</v>
      </c>
      <c r="H3" s="78" t="s">
        <v>692</v>
      </c>
      <c r="I3" s="93">
        <v>0.1</v>
      </c>
      <c r="J3" s="78">
        <v>20000</v>
      </c>
      <c r="K3" s="78" t="s">
        <v>703</v>
      </c>
      <c r="L3" t="str">
        <f t="shared" ref="L3:L9" ca="1" si="0">IF(AND(F3&lt;TODAY(), G3&lt;&gt;"Completed"), "Overdue", "")</f>
        <v/>
      </c>
      <c r="M3" s="78" t="s">
        <v>704</v>
      </c>
      <c r="O3" s="56"/>
      <c r="P3" s="56"/>
      <c r="Q3" s="56"/>
    </row>
    <row r="4" spans="1:22" ht="43.2" x14ac:dyDescent="0.3">
      <c r="A4" s="78" t="s">
        <v>705</v>
      </c>
      <c r="B4" s="78" t="s">
        <v>706</v>
      </c>
      <c r="C4" s="78" t="s">
        <v>707</v>
      </c>
      <c r="D4" s="78" t="s">
        <v>86</v>
      </c>
      <c r="E4" s="92">
        <v>45992</v>
      </c>
      <c r="F4" s="92">
        <v>46068</v>
      </c>
      <c r="G4" s="78" t="s">
        <v>708</v>
      </c>
      <c r="H4" s="78" t="s">
        <v>689</v>
      </c>
      <c r="I4" s="93">
        <v>1</v>
      </c>
      <c r="J4" s="78">
        <v>75000</v>
      </c>
      <c r="K4" s="78" t="s">
        <v>689</v>
      </c>
      <c r="L4" t="str">
        <f t="shared" ca="1" si="0"/>
        <v/>
      </c>
      <c r="M4" s="78" t="s">
        <v>709</v>
      </c>
      <c r="O4" s="56"/>
      <c r="P4" s="56"/>
      <c r="Q4" s="56"/>
    </row>
    <row r="5" spans="1:22" ht="43.2" x14ac:dyDescent="0.3">
      <c r="A5" s="78" t="s">
        <v>710</v>
      </c>
      <c r="B5" s="78" t="s">
        <v>711</v>
      </c>
      <c r="C5" s="78" t="s">
        <v>193</v>
      </c>
      <c r="D5" s="78" t="s">
        <v>45</v>
      </c>
      <c r="E5" s="92">
        <v>46032</v>
      </c>
      <c r="F5" s="92">
        <v>46132</v>
      </c>
      <c r="G5" s="78" t="s">
        <v>502</v>
      </c>
      <c r="H5" s="78" t="s">
        <v>689</v>
      </c>
      <c r="I5" s="93">
        <v>0.45</v>
      </c>
      <c r="J5" s="78">
        <v>30000</v>
      </c>
      <c r="K5" s="78" t="s">
        <v>692</v>
      </c>
      <c r="L5" t="str">
        <f t="shared" ca="1" si="0"/>
        <v/>
      </c>
      <c r="M5" s="78" t="s">
        <v>712</v>
      </c>
      <c r="O5" s="56"/>
      <c r="P5" s="56"/>
      <c r="Q5" s="56"/>
    </row>
    <row r="6" spans="1:22" ht="57.6" x14ac:dyDescent="0.3">
      <c r="A6" s="78" t="s">
        <v>713</v>
      </c>
      <c r="B6" s="78" t="s">
        <v>714</v>
      </c>
      <c r="C6" s="78" t="s">
        <v>189</v>
      </c>
      <c r="D6" s="78" t="s">
        <v>340</v>
      </c>
      <c r="E6" s="92">
        <v>45962</v>
      </c>
      <c r="F6" s="92">
        <v>46037</v>
      </c>
      <c r="G6" s="78" t="s">
        <v>502</v>
      </c>
      <c r="H6" s="78" t="s">
        <v>692</v>
      </c>
      <c r="I6" s="93">
        <v>0.7</v>
      </c>
      <c r="J6" s="78">
        <v>25000</v>
      </c>
      <c r="K6" s="78" t="s">
        <v>689</v>
      </c>
      <c r="L6" t="str">
        <f t="shared" ca="1" si="0"/>
        <v>Overdue</v>
      </c>
      <c r="M6" s="78" t="s">
        <v>715</v>
      </c>
    </row>
    <row r="7" spans="1:22" ht="43.2" x14ac:dyDescent="0.3">
      <c r="A7" s="78" t="s">
        <v>716</v>
      </c>
      <c r="B7" s="78" t="s">
        <v>717</v>
      </c>
      <c r="C7" s="78" t="s">
        <v>12</v>
      </c>
      <c r="D7" s="78" t="s">
        <v>65</v>
      </c>
      <c r="E7" s="92">
        <v>46082</v>
      </c>
      <c r="F7" s="92">
        <v>46203</v>
      </c>
      <c r="G7" s="78" t="s">
        <v>691</v>
      </c>
      <c r="H7" s="78" t="s">
        <v>689</v>
      </c>
      <c r="I7" s="93">
        <v>0</v>
      </c>
      <c r="J7" s="78">
        <v>40000</v>
      </c>
      <c r="K7" s="78" t="s">
        <v>692</v>
      </c>
      <c r="L7" t="str">
        <f t="shared" ca="1" si="0"/>
        <v/>
      </c>
      <c r="M7" s="78" t="s">
        <v>718</v>
      </c>
    </row>
    <row r="8" spans="1:22" ht="43.2" x14ac:dyDescent="0.3">
      <c r="A8" s="78" t="s">
        <v>719</v>
      </c>
      <c r="B8" s="78" t="s">
        <v>720</v>
      </c>
      <c r="C8" s="78" t="s">
        <v>25</v>
      </c>
      <c r="D8" s="78" t="s">
        <v>48</v>
      </c>
      <c r="E8" s="92">
        <v>46037</v>
      </c>
      <c r="F8" s="92">
        <v>46173</v>
      </c>
      <c r="G8" s="78" t="s">
        <v>502</v>
      </c>
      <c r="H8" s="78" t="s">
        <v>689</v>
      </c>
      <c r="I8" s="93">
        <v>0.5</v>
      </c>
      <c r="J8" s="78">
        <v>60000</v>
      </c>
      <c r="K8" s="78" t="s">
        <v>689</v>
      </c>
      <c r="L8" t="str">
        <f t="shared" ca="1" si="0"/>
        <v/>
      </c>
      <c r="M8" s="78" t="s">
        <v>721</v>
      </c>
    </row>
    <row r="9" spans="1:22" ht="43.2" x14ac:dyDescent="0.3">
      <c r="A9" s="78" t="s">
        <v>722</v>
      </c>
      <c r="B9" s="78" t="s">
        <v>723</v>
      </c>
      <c r="C9" s="78" t="s">
        <v>707</v>
      </c>
      <c r="D9" s="78" t="s">
        <v>61</v>
      </c>
      <c r="E9" s="92">
        <v>45931</v>
      </c>
      <c r="F9" s="92">
        <v>46022</v>
      </c>
      <c r="G9" s="78" t="s">
        <v>708</v>
      </c>
      <c r="H9" s="78" t="s">
        <v>689</v>
      </c>
      <c r="I9" s="93">
        <v>1</v>
      </c>
      <c r="J9" s="78">
        <v>45000</v>
      </c>
      <c r="K9" s="78" t="s">
        <v>703</v>
      </c>
      <c r="L9" t="str">
        <f t="shared" ca="1" si="0"/>
        <v/>
      </c>
      <c r="M9" s="78" t="s">
        <v>724</v>
      </c>
    </row>
    <row r="10" spans="1:22" x14ac:dyDescent="0.3">
      <c r="F10" s="77"/>
      <c r="G10" s="77"/>
    </row>
    <row r="11" spans="1:22" x14ac:dyDescent="0.3">
      <c r="F11" s="78"/>
      <c r="G11" s="78"/>
    </row>
    <row r="12" spans="1:22" x14ac:dyDescent="0.3">
      <c r="F12" s="78"/>
      <c r="G12" s="78"/>
      <c r="R12" s="77"/>
      <c r="S12" s="77"/>
      <c r="T12" s="77"/>
      <c r="U12" s="77"/>
      <c r="V12" s="77"/>
    </row>
    <row r="13" spans="1:22" x14ac:dyDescent="0.3">
      <c r="F13" s="78"/>
      <c r="G13" s="78"/>
      <c r="R13" s="78"/>
      <c r="S13" s="78"/>
      <c r="T13" s="78"/>
      <c r="U13" s="78"/>
      <c r="V13" s="78"/>
    </row>
    <row r="14" spans="1:22" x14ac:dyDescent="0.3">
      <c r="F14" s="78"/>
      <c r="G14" s="78"/>
      <c r="R14" s="78"/>
      <c r="S14" s="78"/>
      <c r="T14" s="78"/>
      <c r="U14" s="78"/>
      <c r="V14" s="78"/>
    </row>
    <row r="15" spans="1:22" x14ac:dyDescent="0.3">
      <c r="F15" s="78"/>
      <c r="G15" s="78"/>
    </row>
    <row r="16" spans="1:22" x14ac:dyDescent="0.3">
      <c r="F16" s="78"/>
      <c r="G16" s="78"/>
    </row>
    <row r="17" spans="6:7" x14ac:dyDescent="0.3">
      <c r="F17" s="78"/>
      <c r="G17" s="78"/>
    </row>
    <row r="18" spans="6:7" x14ac:dyDescent="0.3">
      <c r="F18" s="78"/>
      <c r="G18" s="78"/>
    </row>
    <row r="19" spans="6:7" x14ac:dyDescent="0.3">
      <c r="F19" s="78"/>
      <c r="G19" s="78"/>
    </row>
  </sheetData>
  <mergeCells count="1">
    <mergeCell ref="O2:Q5"/>
  </mergeCells>
  <conditionalFormatting sqref="G4:G1048576">
    <cfRule type="expression" dxfId="25" priority="7">
      <formula>$F5="On Hold"</formula>
    </cfRule>
    <cfRule type="expression" dxfId="24" priority="8">
      <formula>$F5="In Progress"</formula>
    </cfRule>
    <cfRule type="expression" dxfId="23" priority="9">
      <formula>$F5="Completed"</formula>
    </cfRule>
  </conditionalFormatting>
  <conditionalFormatting sqref="I10:K1048576 I1:I9 K2:K9">
    <cfRule type="dataBar" priority="6">
      <dataBar>
        <cfvo type="min"/>
        <cfvo type="max"/>
        <color rgb="FF638EC6"/>
      </dataBar>
      <extLst>
        <ext xmlns:x14="http://schemas.microsoft.com/office/spreadsheetml/2009/9/main" uri="{B025F937-C7B1-47D3-B67F-A62EFF666E3E}">
          <x14:id>{42B2C66D-B447-436F-B342-AD3BE817A897}</x14:id>
        </ext>
      </extLst>
    </cfRule>
  </conditionalFormatting>
  <conditionalFormatting sqref="G2">
    <cfRule type="expression" dxfId="22" priority="22">
      <formula>$G3="On Hold"</formula>
    </cfRule>
    <cfRule type="expression" dxfId="21" priority="23">
      <formula>$G3="In Progress"</formula>
    </cfRule>
    <cfRule type="expression" dxfId="20" priority="24">
      <formula>$G3="Completed"</formula>
    </cfRule>
  </conditionalFormatting>
  <conditionalFormatting sqref="G2:G9">
    <cfRule type="containsText" dxfId="19" priority="3" operator="containsText" text="On Hold">
      <formula>NOT(ISERROR(SEARCH("On Hold",G2)))</formula>
    </cfRule>
    <cfRule type="containsText" dxfId="18" priority="4" operator="containsText" text="In Progress">
      <formula>NOT(ISERROR(SEARCH("In Progress",G2)))</formula>
    </cfRule>
    <cfRule type="containsText" dxfId="17" priority="5" operator="containsText" text="Completed">
      <formula>NOT(ISERROR(SEARCH("Completed",G2)))</formula>
    </cfRule>
  </conditionalFormatting>
  <conditionalFormatting sqref="G1:G1048576">
    <cfRule type="containsText" dxfId="16" priority="2" operator="containsText" text="Not">
      <formula>NOT(ISERROR(SEARCH("Not",G1)))</formula>
    </cfRule>
  </conditionalFormatting>
  <conditionalFormatting sqref="L2:L9">
    <cfRule type="containsText" dxfId="15" priority="1" operator="containsText" text="Overdue">
      <formula>NOT(ISERROR(SEARCH("Overdue",L2)))</formula>
    </cfRule>
  </conditionalFormatting>
  <dataValidations count="2">
    <dataValidation type="list" allowBlank="1" showInputMessage="1" showErrorMessage="1" sqref="G1:G1048576" xr:uid="{DD543E20-0C79-4273-A07A-DA233D406A2D}">
      <formula1>"Not Started, In Progress, Completed, On Hold"</formula1>
    </dataValidation>
    <dataValidation type="list" allowBlank="1" showInputMessage="1" showErrorMessage="1" sqref="H1:H1048576 K1:K1048576" xr:uid="{B4755AAE-6837-4324-8ADA-E19E2FFD838F}">
      <formula1>"High, Medium, Low"</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2B2C66D-B447-436F-B342-AD3BE817A897}">
            <x14:dataBar minLength="0" maxLength="100" border="1" negativeBarBorderColorSameAsPositive="0">
              <x14:cfvo type="autoMin"/>
              <x14:cfvo type="autoMax"/>
              <x14:borderColor rgb="FF638EC6"/>
              <x14:negativeFillColor rgb="FFFF0000"/>
              <x14:negativeBorderColor rgb="FFFF0000"/>
              <x14:axisColor rgb="FF000000"/>
            </x14:dataBar>
          </x14:cfRule>
          <xm:sqref>I10:K1048576 I1:I9 K2:K9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19EDF3C40BD458503C9EDFEF00ECA" ma:contentTypeVersion="11" ma:contentTypeDescription="Create a new document." ma:contentTypeScope="" ma:versionID="dea4e3644e78dc676ac8b511a8ce7b1f">
  <xsd:schema xmlns:xsd="http://www.w3.org/2001/XMLSchema" xmlns:xs="http://www.w3.org/2001/XMLSchema" xmlns:p="http://schemas.microsoft.com/office/2006/metadata/properties" xmlns:ns2="4e1fcd58-ef0e-4cca-97f4-827b81a616e8" xmlns:ns3="c7bb722d-4dcc-4435-a288-e1ecc573ad00" targetNamespace="http://schemas.microsoft.com/office/2006/metadata/properties" ma:root="true" ma:fieldsID="afa702dbcd7149ec1eaee57f9c476744" ns2:_="" ns3:_="">
    <xsd:import namespace="4e1fcd58-ef0e-4cca-97f4-827b81a616e8"/>
    <xsd:import namespace="c7bb722d-4dcc-4435-a288-e1ecc573ad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1fcd58-ef0e-4cca-97f4-827b81a616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23617ca-4540-4c4f-891b-a7532fce844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bb722d-4dcc-4435-a288-e1ecc573ad0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cc53346-a418-4383-95ec-a498e0b9ef01}" ma:internalName="TaxCatchAll" ma:showField="CatchAllData" ma:web="c7bb722d-4dcc-4435-a288-e1ecc573ad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e1fcd58-ef0e-4cca-97f4-827b81a616e8">
      <Terms xmlns="http://schemas.microsoft.com/office/infopath/2007/PartnerControls"/>
    </lcf76f155ced4ddcb4097134ff3c332f>
    <TaxCatchAll xmlns="c7bb722d-4dcc-4435-a288-e1ecc573ad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BC888549-8C93-44E7-98C9-EBCDDA1A96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1fcd58-ef0e-4cca-97f4-827b81a616e8"/>
    <ds:schemaRef ds:uri="c7bb722d-4dcc-4435-a288-e1ecc573ad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F3C86D-889C-4073-966B-6EEC4A85DBCF}">
  <ds:schemaRefs>
    <ds:schemaRef ds:uri="http://schemas.microsoft.com/office/2006/metadata/properties"/>
    <ds:schemaRef ds:uri="http://schemas.microsoft.com/office/infopath/2007/PartnerControls"/>
    <ds:schemaRef ds:uri="4e1fcd58-ef0e-4cca-97f4-827b81a616e8"/>
    <ds:schemaRef ds:uri="c7bb722d-4dcc-4435-a288-e1ecc573ad00"/>
  </ds:schemaRefs>
</ds:datastoreItem>
</file>

<file path=customXml/itemProps3.xml><?xml version="1.0" encoding="utf-8"?>
<ds:datastoreItem xmlns:ds="http://schemas.openxmlformats.org/officeDocument/2006/customXml" ds:itemID="{E89D2968-281C-47F6-AFB6-D9949409C062}">
  <ds:schemaRefs>
    <ds:schemaRef ds:uri="http://schemas.microsoft.com/sharepoint/v3/contenttype/forms"/>
  </ds:schemaRefs>
</ds:datastoreItem>
</file>

<file path=customXml/itemProps4.xml><?xml version="1.0" encoding="utf-8"?>
<ds:datastoreItem xmlns:ds="http://schemas.openxmlformats.org/officeDocument/2006/customXml" ds:itemID="{926B9AE0-C812-4901-A28D-7F5B5FDD4C89}">
  <ds:schemaRefs>
    <ds:schemaRef ds:uri="http://schemas.microsoft.com/DataMashup"/>
  </ds:schemaRefs>
</ds:datastoreItem>
</file>

<file path=docMetadata/LabelInfo.xml><?xml version="1.0" encoding="utf-8"?>
<clbl:labelList xmlns:clbl="http://schemas.microsoft.com/office/2020/mipLabelMetadata">
  <clbl:label id="{902eab19-c66d-43b3-91e5-d4c00ec64e88}" enabled="0" method="" siteId="{902eab19-c66d-43b3-91e5-d4c00ec64e8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vt:lpstr>
      <vt:lpstr>Projects</vt:lpstr>
      <vt:lpstr>Team Structure Analysis </vt:lpstr>
      <vt:lpstr>Long-Running Projects Identific</vt:lpstr>
      <vt:lpstr>Employee Cohort Filtering </vt:lpstr>
      <vt:lpstr>Employee–Project Mapping </vt:lpstr>
      <vt:lpstr>Emp–Proj Mgmt Count </vt:lpstr>
      <vt:lpstr>Utilisation</vt:lpstr>
      <vt:lpstr>Strategic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Nitya Kapoor</dc:creator>
  <cp:keywords/>
  <dc:description/>
  <cp:lastModifiedBy>Dipayan Saha</cp:lastModifiedBy>
  <cp:revision/>
  <dcterms:created xsi:type="dcterms:W3CDTF">2026-02-11T10:58:35Z</dcterms:created>
  <dcterms:modified xsi:type="dcterms:W3CDTF">2026-04-13T07:41:55Z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0x01010028119EDF3C40BD458503C9EDFEF00ECA</vt:lpwstr>
  </property>
  <property fmtid="{D5CDD505-2E9C-101B-9397-08002B2CF9AE}" pid="3" name="MediaServiceImageTags">
    <vt:lpwstr/>
  </property>
</Properties>
</file>